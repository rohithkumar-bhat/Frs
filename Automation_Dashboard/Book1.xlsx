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9d41e55014aaf7/Documents/Dashboard/"/>
    </mc:Choice>
  </mc:AlternateContent>
  <xr:revisionPtr revIDLastSave="185" documentId="8_{A5605E3B-2A85-4A63-83C3-47F2C907160A}" xr6:coauthVersionLast="47" xr6:coauthVersionMax="47" xr10:uidLastSave="{2F617DEE-33B6-42D5-A950-93FC11674D51}"/>
  <bookViews>
    <workbookView xWindow="-108" yWindow="-108" windowWidth="23256" windowHeight="13896" xr2:uid="{1A00B054-9414-41B1-A090-1E656DF25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3" i="1" l="1"/>
  <c r="AI14" i="1"/>
  <c r="AI15" i="1"/>
  <c r="AI16" i="1"/>
  <c r="AI17" i="1"/>
  <c r="AI18" i="1"/>
  <c r="AI19" i="1"/>
  <c r="AI20" i="1"/>
  <c r="AI21" i="1"/>
  <c r="AI22" i="1"/>
  <c r="AL41" i="1"/>
  <c r="AK41" i="1" s="1"/>
  <c r="AL42" i="1"/>
  <c r="AL43" i="1"/>
  <c r="AL44" i="1"/>
  <c r="AK44" i="1" s="1"/>
  <c r="AL45" i="1"/>
  <c r="AI12" i="1"/>
  <c r="AI8" i="1"/>
  <c r="AK45" i="1"/>
  <c r="AK46" i="1"/>
  <c r="AK47" i="1"/>
  <c r="AK48" i="1"/>
  <c r="AK49" i="1"/>
  <c r="AK50" i="1"/>
  <c r="AK51" i="1"/>
  <c r="AK52" i="1"/>
  <c r="AK53" i="1"/>
  <c r="AK54" i="1"/>
  <c r="AL46" i="1"/>
  <c r="AL47" i="1"/>
  <c r="AL49" i="1"/>
  <c r="AL51" i="1"/>
  <c r="AL52" i="1"/>
  <c r="AL53" i="1"/>
  <c r="AL55" i="1"/>
  <c r="AK55" i="1"/>
  <c r="AK43" i="1"/>
  <c r="AK42" i="1"/>
  <c r="AL40" i="1"/>
  <c r="AK40" i="1" s="1"/>
  <c r="AL39" i="1"/>
  <c r="AK39" i="1" s="1"/>
  <c r="AL38" i="1"/>
  <c r="AK38" i="1" s="1"/>
  <c r="AL37" i="1"/>
  <c r="AK37" i="1" s="1"/>
</calcChain>
</file>

<file path=xl/sharedStrings.xml><?xml version="1.0" encoding="utf-8"?>
<sst xmlns="http://schemas.openxmlformats.org/spreadsheetml/2006/main" count="251" uniqueCount="57">
  <si>
    <t>ATTENDENCE FOR THE MONTH - FEB 2026</t>
  </si>
  <si>
    <t>Sr.No.</t>
  </si>
  <si>
    <t>Employee Name</t>
  </si>
  <si>
    <t>Employee ID</t>
  </si>
  <si>
    <t>Branch</t>
  </si>
  <si>
    <t>Attendence</t>
  </si>
  <si>
    <t>Percentage</t>
  </si>
  <si>
    <t>Bhatlapenumarthy Rohith Kumar</t>
  </si>
  <si>
    <t>EL220673</t>
  </si>
  <si>
    <t>AP Health</t>
  </si>
  <si>
    <t>SUNDAY</t>
  </si>
  <si>
    <t>leave</t>
  </si>
  <si>
    <t>Bindhu Tumma</t>
  </si>
  <si>
    <t>EL220387</t>
  </si>
  <si>
    <t>NA</t>
  </si>
  <si>
    <t>Leave</t>
  </si>
  <si>
    <t>Chakravathi Kotikalapudi</t>
  </si>
  <si>
    <t>EL220571</t>
  </si>
  <si>
    <t>Chinthaguntla Merin</t>
  </si>
  <si>
    <t>EL220395</t>
  </si>
  <si>
    <t>Gade Ramya Manasa</t>
  </si>
  <si>
    <t>EL220425</t>
  </si>
  <si>
    <t>Hema kumar Sadhu</t>
  </si>
  <si>
    <t>EL1910</t>
  </si>
  <si>
    <t>Jhony Basha Shaik</t>
  </si>
  <si>
    <t>EL2105</t>
  </si>
  <si>
    <t>--</t>
  </si>
  <si>
    <t>Madasu Pedda Venkanna</t>
  </si>
  <si>
    <t>EL220667</t>
  </si>
  <si>
    <t>Naga Venkataswamy Reddy Peruma</t>
  </si>
  <si>
    <t>EL220543</t>
  </si>
  <si>
    <t>Namani Karthik</t>
  </si>
  <si>
    <t>EL220657</t>
  </si>
  <si>
    <t>Sai Chaitanya Chikkala</t>
  </si>
  <si>
    <t>EL220379</t>
  </si>
  <si>
    <t>Sai satish Adiraju</t>
  </si>
  <si>
    <t>EL220601</t>
  </si>
  <si>
    <t>Siripurapu Ramanamma</t>
  </si>
  <si>
    <t>EL220456</t>
  </si>
  <si>
    <t>Sreetam Nayak</t>
  </si>
  <si>
    <t>EL220677</t>
  </si>
  <si>
    <t>Venkaiah Chowdary K</t>
  </si>
  <si>
    <t>EL220234</t>
  </si>
  <si>
    <t>NA- NOT MARKED ATTENDENCE</t>
  </si>
  <si>
    <t>ATTENDENCE FOR THE MONTH  - MAR 2026</t>
  </si>
  <si>
    <t>ATTENDENCE</t>
  </si>
  <si>
    <t>Ugadi (HOLIDAY)</t>
  </si>
  <si>
    <t>Ramzan (HOLIDAY)</t>
  </si>
  <si>
    <t>Sri Rama Navami (HOLIDAY)</t>
  </si>
  <si>
    <t>Dantuluri Bhaskar Yashwanth Varma</t>
  </si>
  <si>
    <t>EL220396</t>
  </si>
  <si>
    <t>Jyothi Babu Reddy</t>
  </si>
  <si>
    <t>EL1709</t>
  </si>
  <si>
    <t>Punna Reddy</t>
  </si>
  <si>
    <t>EL170204</t>
  </si>
  <si>
    <t>Vasundhara Reddy</t>
  </si>
  <si>
    <t>EL220239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</si>
</sst>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212529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Calibri"/>
      <family val="2"/>
    </font>
    <font>
      <b/>
      <sz val="13"/>
      <name val="Times New Roman"/>
      <family val="1"/>
    </font>
    <font>
      <sz val="13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14" fontId="2" fillId="4" borderId="4" xfId="0" applyNumberFormat="1" applyFont="1" applyFill="1" applyBorder="1" applyAlignment="1">
      <alignment horizontal="center" wrapText="1"/>
    </xf>
    <xf numFmtId="0" fontId="2" fillId="5" borderId="4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20" fontId="4" fillId="0" borderId="4" xfId="0" applyNumberFormat="1" applyFont="1" applyBorder="1" applyAlignment="1">
      <alignment horizontal="right" wrapText="1"/>
    </xf>
    <xf numFmtId="0" fontId="3" fillId="7" borderId="4" xfId="0" applyFont="1" applyFill="1" applyBorder="1" applyAlignment="1">
      <alignment horizontal="center" wrapText="1"/>
    </xf>
    <xf numFmtId="20" fontId="3" fillId="2" borderId="4" xfId="0" applyNumberFormat="1" applyFont="1" applyFill="1" applyBorder="1" applyAlignment="1">
      <alignment horizontal="right" wrapText="1"/>
    </xf>
    <xf numFmtId="0" fontId="3" fillId="8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9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20" fontId="3" fillId="0" borderId="4" xfId="0" applyNumberFormat="1" applyFont="1" applyBorder="1" applyAlignment="1">
      <alignment horizontal="right" wrapText="1"/>
    </xf>
    <xf numFmtId="20" fontId="4" fillId="2" borderId="4" xfId="0" applyNumberFormat="1" applyFont="1" applyFill="1" applyBorder="1" applyAlignment="1">
      <alignment horizontal="right" wrapText="1"/>
    </xf>
    <xf numFmtId="20" fontId="4" fillId="10" borderId="4" xfId="0" applyNumberFormat="1" applyFont="1" applyFill="1" applyBorder="1" applyAlignment="1">
      <alignment horizontal="right" wrapText="1"/>
    </xf>
    <xf numFmtId="20" fontId="3" fillId="10" borderId="4" xfId="0" applyNumberFormat="1" applyFont="1" applyFill="1" applyBorder="1" applyAlignment="1">
      <alignment horizontal="right" wrapText="1"/>
    </xf>
    <xf numFmtId="0" fontId="3" fillId="10" borderId="4" xfId="0" applyFont="1" applyFill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3" fillId="0" borderId="0" xfId="0" applyFont="1"/>
    <xf numFmtId="0" fontId="5" fillId="0" borderId="14" xfId="0" applyFont="1" applyBorder="1"/>
    <xf numFmtId="0" fontId="5" fillId="2" borderId="14" xfId="0" applyFont="1" applyFill="1" applyBorder="1"/>
    <xf numFmtId="0" fontId="3" fillId="2" borderId="0" xfId="0" applyFont="1" applyFill="1"/>
    <xf numFmtId="0" fontId="7" fillId="12" borderId="15" xfId="0" applyFont="1" applyFill="1" applyBorder="1" applyAlignment="1">
      <alignment horizontal="center" vertical="center"/>
    </xf>
    <xf numFmtId="14" fontId="7" fillId="1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wrapText="1"/>
    </xf>
    <xf numFmtId="0" fontId="3" fillId="2" borderId="15" xfId="0" applyFont="1" applyFill="1" applyBorder="1"/>
    <xf numFmtId="20" fontId="3" fillId="2" borderId="15" xfId="0" applyNumberFormat="1" applyFont="1" applyFill="1" applyBorder="1" applyAlignment="1">
      <alignment horizontal="right"/>
    </xf>
    <xf numFmtId="20" fontId="8" fillId="2" borderId="15" xfId="0" applyNumberFormat="1" applyFont="1" applyFill="1" applyBorder="1"/>
    <xf numFmtId="20" fontId="3" fillId="2" borderId="15" xfId="0" applyNumberFormat="1" applyFont="1" applyFill="1" applyBorder="1"/>
    <xf numFmtId="0" fontId="3" fillId="15" borderId="15" xfId="0" applyFont="1" applyFill="1" applyBorder="1" applyAlignment="1">
      <alignment horizontal="center"/>
    </xf>
    <xf numFmtId="20" fontId="3" fillId="0" borderId="15" xfId="0" applyNumberFormat="1" applyFont="1" applyBorder="1" applyAlignment="1">
      <alignment horizontal="right"/>
    </xf>
    <xf numFmtId="2" fontId="2" fillId="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/>
    </xf>
    <xf numFmtId="20" fontId="3" fillId="19" borderId="15" xfId="0" applyNumberFormat="1" applyFont="1" applyFill="1" applyBorder="1" applyAlignment="1">
      <alignment horizontal="right"/>
    </xf>
    <xf numFmtId="0" fontId="3" fillId="2" borderId="15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right"/>
    </xf>
    <xf numFmtId="0" fontId="8" fillId="2" borderId="15" xfId="0" applyFont="1" applyFill="1" applyBorder="1"/>
    <xf numFmtId="20" fontId="3" fillId="19" borderId="15" xfId="0" quotePrefix="1" applyNumberFormat="1" applyFont="1" applyFill="1" applyBorder="1" applyAlignment="1">
      <alignment horizontal="right"/>
    </xf>
    <xf numFmtId="20" fontId="3" fillId="19" borderId="15" xfId="0" applyNumberFormat="1" applyFont="1" applyFill="1" applyBorder="1"/>
    <xf numFmtId="0" fontId="3" fillId="0" borderId="15" xfId="0" applyFont="1" applyBorder="1" applyAlignment="1">
      <alignment horizontal="center"/>
    </xf>
    <xf numFmtId="0" fontId="3" fillId="2" borderId="16" xfId="0" applyFont="1" applyFill="1" applyBorder="1"/>
    <xf numFmtId="20" fontId="3" fillId="2" borderId="15" xfId="0" applyNumberFormat="1" applyFont="1" applyFill="1" applyBorder="1" applyAlignment="1">
      <alignment horizontal="right" vertical="center"/>
    </xf>
    <xf numFmtId="20" fontId="3" fillId="10" borderId="15" xfId="0" applyNumberFormat="1" applyFont="1" applyFill="1" applyBorder="1" applyAlignment="1">
      <alignment horizontal="right" wrapText="1"/>
    </xf>
    <xf numFmtId="0" fontId="3" fillId="9" borderId="15" xfId="0" applyFont="1" applyFill="1" applyBorder="1" applyAlignment="1">
      <alignment horizontal="center" wrapText="1"/>
    </xf>
    <xf numFmtId="20" fontId="3" fillId="19" borderId="15" xfId="0" applyNumberFormat="1" applyFont="1" applyFill="1" applyBorder="1" applyAlignment="1">
      <alignment horizontal="right" vertical="center"/>
    </xf>
    <xf numFmtId="20" fontId="3" fillId="2" borderId="15" xfId="0" applyNumberFormat="1" applyFont="1" applyFill="1" applyBorder="1" applyAlignment="1">
      <alignment horizontal="right" wrapText="1"/>
    </xf>
    <xf numFmtId="0" fontId="3" fillId="2" borderId="15" xfId="0" applyFont="1" applyFill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3" fillId="14" borderId="15" xfId="0" applyFont="1" applyFill="1" applyBorder="1" applyAlignment="1">
      <alignment horizontal="center"/>
    </xf>
    <xf numFmtId="0" fontId="6" fillId="16" borderId="15" xfId="0" applyFont="1" applyFill="1" applyBorder="1" applyAlignment="1">
      <alignment horizontal="center" vertical="center" wrapText="1"/>
    </xf>
    <xf numFmtId="0" fontId="6" fillId="17" borderId="15" xfId="0" applyFont="1" applyFill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BAA9-9F62-4B24-B5F3-979BE291390D}">
  <dimension ref="A1:AM57"/>
  <sheetViews>
    <sheetView tabSelected="1" topLeftCell="Y3" workbookViewId="0">
      <selection activeCell="AH5" sqref="AH5"/>
    </sheetView>
  </sheetViews>
  <sheetFormatPr defaultRowHeight="14.4" x14ac:dyDescent="0.3"/>
  <cols>
    <col min="2" max="2" width="9.109375" bestFit="1" customWidth="1"/>
    <col min="3" max="3" width="39.109375" customWidth="1"/>
    <col min="4" max="6" width="8.88671875" customWidth="1"/>
    <col min="7" max="14" width="9.77734375" bestFit="1" customWidth="1"/>
    <col min="15" max="34" width="11" bestFit="1" customWidth="1"/>
    <col min="35" max="35" width="14" bestFit="1" customWidth="1"/>
    <col min="36" max="36" width="10.88671875" bestFit="1" customWidth="1"/>
    <col min="37" max="38" width="9" bestFit="1" customWidth="1"/>
  </cols>
  <sheetData>
    <row r="1" spans="1:36" ht="15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</row>
    <row r="2" spans="1:36" ht="17.399999999999999" thickBot="1" x14ac:dyDescent="0.35">
      <c r="A2" s="3"/>
      <c r="B2" s="55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7"/>
      <c r="AJ2" s="1"/>
    </row>
    <row r="3" spans="1:36" ht="34.200000000000003" thickBot="1" x14ac:dyDescent="0.35">
      <c r="A3" s="3"/>
      <c r="B3" s="4" t="s">
        <v>1</v>
      </c>
      <c r="C3" s="4" t="s">
        <v>2</v>
      </c>
      <c r="D3" s="4" t="s">
        <v>3</v>
      </c>
      <c r="E3" s="4" t="s">
        <v>4</v>
      </c>
      <c r="F3" s="5">
        <v>46054</v>
      </c>
      <c r="G3" s="5">
        <v>46055</v>
      </c>
      <c r="H3" s="5">
        <v>46056</v>
      </c>
      <c r="I3" s="5">
        <v>46057</v>
      </c>
      <c r="J3" s="5">
        <v>46058</v>
      </c>
      <c r="K3" s="5">
        <v>46059</v>
      </c>
      <c r="L3" s="5">
        <v>46060</v>
      </c>
      <c r="M3" s="5">
        <v>46061</v>
      </c>
      <c r="N3" s="5">
        <v>46062</v>
      </c>
      <c r="O3" s="5">
        <v>46063</v>
      </c>
      <c r="P3" s="5">
        <v>46064</v>
      </c>
      <c r="Q3" s="5">
        <v>46065</v>
      </c>
      <c r="R3" s="5">
        <v>46066</v>
      </c>
      <c r="S3" s="5">
        <v>46067</v>
      </c>
      <c r="T3" s="5">
        <v>46068</v>
      </c>
      <c r="U3" s="5">
        <v>46069</v>
      </c>
      <c r="V3" s="5">
        <v>46070</v>
      </c>
      <c r="W3" s="5">
        <v>46071</v>
      </c>
      <c r="X3" s="5">
        <v>46072</v>
      </c>
      <c r="Y3" s="5">
        <v>46073</v>
      </c>
      <c r="Z3" s="5">
        <v>46074</v>
      </c>
      <c r="AA3" s="5">
        <v>46075</v>
      </c>
      <c r="AB3" s="5">
        <v>46076</v>
      </c>
      <c r="AC3" s="5">
        <v>46077</v>
      </c>
      <c r="AD3" s="5">
        <v>46078</v>
      </c>
      <c r="AE3" s="5">
        <v>46079</v>
      </c>
      <c r="AF3" s="5">
        <v>46080</v>
      </c>
      <c r="AG3" s="5">
        <v>46081</v>
      </c>
      <c r="AH3" s="6" t="s">
        <v>5</v>
      </c>
      <c r="AI3" s="7" t="s">
        <v>6</v>
      </c>
      <c r="AJ3" s="8"/>
    </row>
    <row r="4" spans="1:36" ht="34.200000000000003" thickBot="1" x14ac:dyDescent="0.35">
      <c r="A4" s="3"/>
      <c r="B4" s="9">
        <v>1</v>
      </c>
      <c r="C4" s="10" t="s">
        <v>7</v>
      </c>
      <c r="D4" s="10" t="s">
        <v>8</v>
      </c>
      <c r="E4" s="10" t="s">
        <v>9</v>
      </c>
      <c r="F4" s="58" t="s">
        <v>10</v>
      </c>
      <c r="G4" s="11">
        <v>0.36944444444444446</v>
      </c>
      <c r="H4" s="11">
        <v>0.37777777777777777</v>
      </c>
      <c r="I4" s="11">
        <v>0.375</v>
      </c>
      <c r="J4" s="11">
        <v>0.36319444444444443</v>
      </c>
      <c r="K4" s="12" t="s">
        <v>11</v>
      </c>
      <c r="L4" s="11">
        <v>0.40208333333333335</v>
      </c>
      <c r="M4" s="58" t="s">
        <v>10</v>
      </c>
      <c r="N4" s="11">
        <v>0.34305555555555556</v>
      </c>
      <c r="O4" s="11">
        <v>0.37847222222222221</v>
      </c>
      <c r="P4" s="11">
        <v>0.37638888888888888</v>
      </c>
      <c r="Q4" s="11">
        <v>0.37777777777777777</v>
      </c>
      <c r="R4" s="11">
        <v>0.38055555555555554</v>
      </c>
      <c r="S4" s="11">
        <v>0.37638888888888888</v>
      </c>
      <c r="T4" s="58" t="s">
        <v>10</v>
      </c>
      <c r="U4" s="12" t="s">
        <v>11</v>
      </c>
      <c r="V4" s="13">
        <v>0.375</v>
      </c>
      <c r="W4" s="13">
        <v>0.38958333333333334</v>
      </c>
      <c r="X4" s="13">
        <v>0.38124999999999998</v>
      </c>
      <c r="Y4" s="13">
        <v>0.37222222222222223</v>
      </c>
      <c r="Z4" s="13">
        <v>0.41944444444444445</v>
      </c>
      <c r="AA4" s="58" t="s">
        <v>10</v>
      </c>
      <c r="AB4" s="13">
        <v>0.36319444444444443</v>
      </c>
      <c r="AC4" s="13">
        <v>0.35972222222222222</v>
      </c>
      <c r="AD4" s="13">
        <v>0.36041666666666666</v>
      </c>
      <c r="AE4" s="13">
        <v>0.41736111111111113</v>
      </c>
      <c r="AF4" s="13">
        <v>0.3576388888888889</v>
      </c>
      <c r="AG4" s="13">
        <v>0.43472222222222223</v>
      </c>
      <c r="AH4" s="14">
        <v>22</v>
      </c>
      <c r="AI4" s="15">
        <v>91.666666669999998</v>
      </c>
      <c r="AJ4" s="8"/>
    </row>
    <row r="5" spans="1:36" ht="34.200000000000003" thickBot="1" x14ac:dyDescent="0.35">
      <c r="A5" s="3"/>
      <c r="B5" s="9">
        <v>2</v>
      </c>
      <c r="C5" s="10" t="s">
        <v>12</v>
      </c>
      <c r="D5" s="10" t="s">
        <v>13</v>
      </c>
      <c r="E5" s="10" t="s">
        <v>9</v>
      </c>
      <c r="F5" s="59"/>
      <c r="G5" s="11">
        <v>0.36805555555555558</v>
      </c>
      <c r="H5" s="11">
        <v>0.37847222222222221</v>
      </c>
      <c r="I5" s="11">
        <v>0.37916666666666665</v>
      </c>
      <c r="J5" s="11">
        <v>0.37638888888888888</v>
      </c>
      <c r="K5" s="11">
        <v>0.36944444444444446</v>
      </c>
      <c r="L5" s="11">
        <v>0.38819444444444445</v>
      </c>
      <c r="M5" s="59"/>
      <c r="N5" s="11">
        <v>0.37777777777777777</v>
      </c>
      <c r="O5" s="11">
        <v>0.37569444444444444</v>
      </c>
      <c r="P5" s="11">
        <v>0.37708333333333333</v>
      </c>
      <c r="Q5" s="11">
        <v>0.38611111111111113</v>
      </c>
      <c r="R5" s="11">
        <v>0.375</v>
      </c>
      <c r="S5" s="16" t="s">
        <v>14</v>
      </c>
      <c r="T5" s="59"/>
      <c r="U5" s="13">
        <v>0.34861111111111109</v>
      </c>
      <c r="V5" s="13">
        <v>0.51180555555555551</v>
      </c>
      <c r="W5" s="13">
        <v>0.43888888888888888</v>
      </c>
      <c r="X5" s="13">
        <v>0.38124999999999998</v>
      </c>
      <c r="Y5" s="13">
        <v>0.38333333333333336</v>
      </c>
      <c r="Z5" s="13">
        <v>0.36944444444444446</v>
      </c>
      <c r="AA5" s="59"/>
      <c r="AB5" s="13">
        <v>0.3659722222222222</v>
      </c>
      <c r="AC5" s="13">
        <v>0.36875000000000002</v>
      </c>
      <c r="AD5" s="13">
        <v>0.37777777777777777</v>
      </c>
      <c r="AE5" s="13">
        <v>0.37430555555555556</v>
      </c>
      <c r="AF5" s="12" t="s">
        <v>15</v>
      </c>
      <c r="AG5" s="13">
        <v>0.35208333333333336</v>
      </c>
      <c r="AH5" s="14">
        <v>22</v>
      </c>
      <c r="AI5" s="15">
        <v>91.666666669999998</v>
      </c>
      <c r="AJ5" s="8"/>
    </row>
    <row r="6" spans="1:36" ht="34.200000000000003" thickBot="1" x14ac:dyDescent="0.35">
      <c r="A6" s="3"/>
      <c r="B6" s="9">
        <v>3</v>
      </c>
      <c r="C6" s="10" t="s">
        <v>16</v>
      </c>
      <c r="D6" s="10" t="s">
        <v>17</v>
      </c>
      <c r="E6" s="10" t="s">
        <v>9</v>
      </c>
      <c r="F6" s="59"/>
      <c r="G6" s="11">
        <v>0.37638888888888888</v>
      </c>
      <c r="H6" s="11">
        <v>0.38472222222222224</v>
      </c>
      <c r="I6" s="12" t="s">
        <v>11</v>
      </c>
      <c r="J6" s="11">
        <v>0.37916666666666665</v>
      </c>
      <c r="K6" s="11">
        <v>0.36666666666666664</v>
      </c>
      <c r="L6" s="11">
        <v>0.46250000000000002</v>
      </c>
      <c r="M6" s="59"/>
      <c r="N6" s="11">
        <v>0.37569444444444444</v>
      </c>
      <c r="O6" s="11">
        <v>0.38472222222222224</v>
      </c>
      <c r="P6" s="11">
        <v>0.38819444444444445</v>
      </c>
      <c r="Q6" s="11">
        <v>0.375</v>
      </c>
      <c r="R6" s="11">
        <v>0.40902777777777777</v>
      </c>
      <c r="S6" s="11">
        <v>0.57847222222222228</v>
      </c>
      <c r="T6" s="59"/>
      <c r="U6" s="13">
        <v>0.34861111111111109</v>
      </c>
      <c r="V6" s="13">
        <v>0.34791666666666665</v>
      </c>
      <c r="W6" s="13">
        <v>0.35555555555555557</v>
      </c>
      <c r="X6" s="13">
        <v>0.35902777777777778</v>
      </c>
      <c r="Y6" s="13">
        <v>0.34513888888888888</v>
      </c>
      <c r="Z6" s="13">
        <v>0.4236111111111111</v>
      </c>
      <c r="AA6" s="59"/>
      <c r="AB6" s="13">
        <v>0.36527777777777776</v>
      </c>
      <c r="AC6" s="12" t="s">
        <v>11</v>
      </c>
      <c r="AD6" s="13">
        <v>0.36944444444444446</v>
      </c>
      <c r="AE6" s="13">
        <v>0.32777777777777778</v>
      </c>
      <c r="AF6" s="13">
        <v>0.2986111111111111</v>
      </c>
      <c r="AG6" s="13">
        <v>0.15902777777777777</v>
      </c>
      <c r="AH6" s="14">
        <v>22</v>
      </c>
      <c r="AI6" s="15">
        <v>91.666666669999998</v>
      </c>
      <c r="AJ6" s="8"/>
    </row>
    <row r="7" spans="1:36" ht="34.200000000000003" thickBot="1" x14ac:dyDescent="0.35">
      <c r="A7" s="3"/>
      <c r="B7" s="9">
        <v>4</v>
      </c>
      <c r="C7" s="10" t="s">
        <v>18</v>
      </c>
      <c r="D7" s="10" t="s">
        <v>19</v>
      </c>
      <c r="E7" s="10" t="s">
        <v>9</v>
      </c>
      <c r="F7" s="59"/>
      <c r="G7" s="11">
        <v>0.37569444444444444</v>
      </c>
      <c r="H7" s="11">
        <v>0.37916666666666665</v>
      </c>
      <c r="I7" s="11">
        <v>0.38124999999999998</v>
      </c>
      <c r="J7" s="11">
        <v>0.38819444444444445</v>
      </c>
      <c r="K7" s="11">
        <v>0.37013888888888891</v>
      </c>
      <c r="L7" s="16" t="s">
        <v>14</v>
      </c>
      <c r="M7" s="59"/>
      <c r="N7" s="12" t="s">
        <v>11</v>
      </c>
      <c r="O7" s="11">
        <v>0.40416666666666667</v>
      </c>
      <c r="P7" s="11">
        <v>0.39027777777777778</v>
      </c>
      <c r="Q7" s="11">
        <v>0.37569444444444444</v>
      </c>
      <c r="R7" s="11">
        <v>0.41111111111111109</v>
      </c>
      <c r="S7" s="16" t="s">
        <v>14</v>
      </c>
      <c r="T7" s="59"/>
      <c r="U7" s="13">
        <v>0.38958333333333334</v>
      </c>
      <c r="V7" s="13">
        <v>0.33402777777777776</v>
      </c>
      <c r="W7" s="13">
        <v>0.43333333333333335</v>
      </c>
      <c r="X7" s="13">
        <v>0.34166666666666667</v>
      </c>
      <c r="Y7" s="13">
        <v>0.36805555555555558</v>
      </c>
      <c r="Z7" s="16" t="s">
        <v>14</v>
      </c>
      <c r="AA7" s="59"/>
      <c r="AB7" s="18">
        <v>0.28125</v>
      </c>
      <c r="AC7" s="13">
        <v>0.28680555555555554</v>
      </c>
      <c r="AD7" s="13">
        <v>0.34513888888888888</v>
      </c>
      <c r="AE7" s="13">
        <v>0.3576388888888889</v>
      </c>
      <c r="AF7" s="13">
        <v>0.28958333333333336</v>
      </c>
      <c r="AG7" s="16" t="s">
        <v>14</v>
      </c>
      <c r="AH7" s="14">
        <v>19</v>
      </c>
      <c r="AI7" s="15">
        <v>79.166666669999998</v>
      </c>
      <c r="AJ7" s="8"/>
    </row>
    <row r="8" spans="1:36" ht="34.200000000000003" thickBot="1" x14ac:dyDescent="0.35">
      <c r="A8" s="3"/>
      <c r="B8" s="9">
        <v>5</v>
      </c>
      <c r="C8" s="48" t="s">
        <v>49</v>
      </c>
      <c r="D8" s="48" t="s">
        <v>50</v>
      </c>
      <c r="E8" s="10" t="s">
        <v>9</v>
      </c>
      <c r="F8" s="59"/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59"/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59"/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59"/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4">
        <v>21</v>
      </c>
      <c r="AI8" s="15">
        <f>AH8/26*100</f>
        <v>80.769230769230774</v>
      </c>
      <c r="AJ8" s="8"/>
    </row>
    <row r="9" spans="1:36" ht="34.200000000000003" thickBot="1" x14ac:dyDescent="0.35">
      <c r="A9" s="3"/>
      <c r="B9" s="9">
        <v>6</v>
      </c>
      <c r="C9" s="10" t="s">
        <v>20</v>
      </c>
      <c r="D9" s="10" t="s">
        <v>21</v>
      </c>
      <c r="E9" s="10" t="s">
        <v>9</v>
      </c>
      <c r="F9" s="59"/>
      <c r="G9" s="12" t="s">
        <v>11</v>
      </c>
      <c r="H9" s="11">
        <v>0.37916666666666665</v>
      </c>
      <c r="I9" s="11">
        <v>0.37916666666666665</v>
      </c>
      <c r="J9" s="11">
        <v>0.36180555555555555</v>
      </c>
      <c r="K9" s="11">
        <v>0.36249999999999999</v>
      </c>
      <c r="L9" s="11">
        <v>0.50694444444444442</v>
      </c>
      <c r="M9" s="59"/>
      <c r="N9" s="11">
        <v>0.375</v>
      </c>
      <c r="O9" s="11">
        <v>0.37569444444444444</v>
      </c>
      <c r="P9" s="11">
        <v>0.37569444444444444</v>
      </c>
      <c r="Q9" s="11">
        <v>0.37916666666666665</v>
      </c>
      <c r="R9" s="12" t="s">
        <v>11</v>
      </c>
      <c r="S9" s="11">
        <v>0.51249999999999996</v>
      </c>
      <c r="T9" s="59"/>
      <c r="U9" s="13">
        <v>0.36458333333333331</v>
      </c>
      <c r="V9" s="13">
        <v>0.35416666666666669</v>
      </c>
      <c r="W9" s="13">
        <v>0.36666666666666664</v>
      </c>
      <c r="X9" s="13">
        <v>0.36458333333333331</v>
      </c>
      <c r="Y9" s="13">
        <v>0.36944444444444446</v>
      </c>
      <c r="Z9" s="13">
        <v>0.37083333333333335</v>
      </c>
      <c r="AA9" s="59"/>
      <c r="AB9" s="13">
        <v>0.375</v>
      </c>
      <c r="AC9" s="13">
        <v>0.36666666666666664</v>
      </c>
      <c r="AD9" s="13">
        <v>0.30416666666666664</v>
      </c>
      <c r="AE9" s="13">
        <v>0.375</v>
      </c>
      <c r="AF9" s="13">
        <v>0.43958333333333333</v>
      </c>
      <c r="AG9" s="13">
        <v>0.34027777777777779</v>
      </c>
      <c r="AH9" s="14">
        <v>22</v>
      </c>
      <c r="AI9" s="15">
        <v>91.666666669999998</v>
      </c>
      <c r="AJ9" s="8"/>
    </row>
    <row r="10" spans="1:36" ht="34.200000000000003" thickBot="1" x14ac:dyDescent="0.35">
      <c r="A10" s="3"/>
      <c r="B10" s="9">
        <v>7</v>
      </c>
      <c r="C10" s="10" t="s">
        <v>22</v>
      </c>
      <c r="D10" s="10" t="s">
        <v>23</v>
      </c>
      <c r="E10" s="10" t="s">
        <v>9</v>
      </c>
      <c r="F10" s="59"/>
      <c r="G10" s="11">
        <v>0.39166666666666666</v>
      </c>
      <c r="H10" s="11">
        <v>0.37638888888888888</v>
      </c>
      <c r="I10" s="11">
        <v>0.37638888888888888</v>
      </c>
      <c r="J10" s="11">
        <v>0.38263888888888886</v>
      </c>
      <c r="K10" s="11">
        <v>0.40277777777777779</v>
      </c>
      <c r="L10" s="17">
        <v>0</v>
      </c>
      <c r="M10" s="59"/>
      <c r="N10" s="11">
        <v>0.39374999999999999</v>
      </c>
      <c r="O10" s="11">
        <v>0.40833333333333333</v>
      </c>
      <c r="P10" s="11">
        <v>0.44444444444444442</v>
      </c>
      <c r="Q10" s="11">
        <v>0.38680555555555557</v>
      </c>
      <c r="R10" s="11">
        <v>0.3888888888888889</v>
      </c>
      <c r="S10" s="16" t="s">
        <v>14</v>
      </c>
      <c r="T10" s="59"/>
      <c r="U10" s="13">
        <v>0.39097222222222222</v>
      </c>
      <c r="V10" s="13">
        <v>0.38194444444444442</v>
      </c>
      <c r="W10" s="13">
        <v>0.37777777777777777</v>
      </c>
      <c r="X10" s="13">
        <v>0.39444444444444443</v>
      </c>
      <c r="Y10" s="13">
        <v>0.37916666666666665</v>
      </c>
      <c r="Z10" s="17">
        <v>0</v>
      </c>
      <c r="AA10" s="59"/>
      <c r="AB10" s="17">
        <v>0</v>
      </c>
      <c r="AC10" s="13">
        <v>0.38680555555555557</v>
      </c>
      <c r="AD10" s="13">
        <v>0.38263888888888886</v>
      </c>
      <c r="AE10" s="13">
        <v>0.37708333333333333</v>
      </c>
      <c r="AF10" s="13">
        <v>0.38124999999999998</v>
      </c>
      <c r="AG10" s="16" t="s">
        <v>14</v>
      </c>
      <c r="AH10" s="14">
        <v>22</v>
      </c>
      <c r="AI10" s="15">
        <v>91.666666669999998</v>
      </c>
      <c r="AJ10" s="8"/>
    </row>
    <row r="11" spans="1:36" ht="34.200000000000003" thickBot="1" x14ac:dyDescent="0.35">
      <c r="A11" s="3"/>
      <c r="B11" s="9">
        <v>8</v>
      </c>
      <c r="C11" s="10" t="s">
        <v>24</v>
      </c>
      <c r="D11" s="10" t="s">
        <v>25</v>
      </c>
      <c r="E11" s="10" t="s">
        <v>9</v>
      </c>
      <c r="F11" s="59"/>
      <c r="G11" s="11">
        <v>0.39930555555555558</v>
      </c>
      <c r="H11" s="11">
        <v>0.38611111111111113</v>
      </c>
      <c r="I11" s="11">
        <v>0.39444444444444443</v>
      </c>
      <c r="J11" s="11">
        <v>0.40972222222222221</v>
      </c>
      <c r="K11" s="11">
        <v>0.3888888888888889</v>
      </c>
      <c r="L11" s="11">
        <v>0.44583333333333336</v>
      </c>
      <c r="M11" s="59"/>
      <c r="N11" s="11">
        <v>0.38819444444444445</v>
      </c>
      <c r="O11" s="11">
        <v>0.39374999999999999</v>
      </c>
      <c r="P11" s="11">
        <v>0.40555555555555556</v>
      </c>
      <c r="Q11" s="11">
        <v>0.39305555555555555</v>
      </c>
      <c r="R11" s="11">
        <v>0.3840277777777778</v>
      </c>
      <c r="S11" s="16" t="s">
        <v>14</v>
      </c>
      <c r="T11" s="59"/>
      <c r="U11" s="13">
        <v>0.44236111111111109</v>
      </c>
      <c r="V11" s="13">
        <v>0.36041666666666666</v>
      </c>
      <c r="W11" s="13">
        <v>0.44722222222222224</v>
      </c>
      <c r="X11" s="13">
        <v>0.39097222222222222</v>
      </c>
      <c r="Y11" s="13">
        <v>0.39513888888888887</v>
      </c>
      <c r="Z11" s="13">
        <v>0.43958333333333333</v>
      </c>
      <c r="AA11" s="59"/>
      <c r="AB11" s="13">
        <v>0.39305555555555555</v>
      </c>
      <c r="AC11" s="13">
        <v>0.37291666666666667</v>
      </c>
      <c r="AD11" s="13">
        <v>0.39166666666666666</v>
      </c>
      <c r="AE11" s="13">
        <v>0.3972222222222222</v>
      </c>
      <c r="AF11" s="13">
        <v>0.3659722222222222</v>
      </c>
      <c r="AG11" s="13">
        <v>0.41249999999999998</v>
      </c>
      <c r="AH11" s="14">
        <v>23</v>
      </c>
      <c r="AI11" s="15">
        <v>95.833333330000002</v>
      </c>
      <c r="AJ11" s="8"/>
    </row>
    <row r="12" spans="1:36" ht="34.200000000000003" thickBot="1" x14ac:dyDescent="0.35">
      <c r="A12" s="3"/>
      <c r="B12" s="9">
        <v>9</v>
      </c>
      <c r="C12" s="48" t="s">
        <v>51</v>
      </c>
      <c r="D12" s="48" t="s">
        <v>52</v>
      </c>
      <c r="E12" s="10" t="s">
        <v>9</v>
      </c>
      <c r="F12" s="59"/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59"/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59"/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59"/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4">
        <v>21</v>
      </c>
      <c r="AI12" s="15">
        <f>AH12/26*100</f>
        <v>80.769230769230774</v>
      </c>
      <c r="AJ12" s="8"/>
    </row>
    <row r="13" spans="1:36" ht="34.200000000000003" thickBot="1" x14ac:dyDescent="0.35">
      <c r="A13" s="3"/>
      <c r="B13" s="9">
        <v>10</v>
      </c>
      <c r="C13" s="10" t="s">
        <v>27</v>
      </c>
      <c r="D13" s="10" t="s">
        <v>28</v>
      </c>
      <c r="E13" s="10" t="s">
        <v>9</v>
      </c>
      <c r="F13" s="59"/>
      <c r="G13" s="11">
        <v>0.37777777777777777</v>
      </c>
      <c r="H13" s="11">
        <v>0.38611111111111113</v>
      </c>
      <c r="I13" s="11">
        <v>0.38611111111111113</v>
      </c>
      <c r="J13" s="11">
        <v>0.38611111111111113</v>
      </c>
      <c r="K13" s="11">
        <v>0.3840277777777778</v>
      </c>
      <c r="L13" s="11">
        <v>0.37708333333333333</v>
      </c>
      <c r="M13" s="59"/>
      <c r="N13" s="11">
        <v>0.38194444444444442</v>
      </c>
      <c r="O13" s="11">
        <v>0.3888888888888889</v>
      </c>
      <c r="P13" s="11">
        <v>0.38541666666666669</v>
      </c>
      <c r="Q13" s="19">
        <v>0.38472222222222224</v>
      </c>
      <c r="R13" s="11">
        <v>0.38333333333333336</v>
      </c>
      <c r="S13" s="11">
        <v>0.48402777777777778</v>
      </c>
      <c r="T13" s="59"/>
      <c r="U13" s="13">
        <v>0.37013888888888891</v>
      </c>
      <c r="V13" s="12" t="s">
        <v>11</v>
      </c>
      <c r="W13" s="13">
        <v>0.36388888888888887</v>
      </c>
      <c r="X13" s="13">
        <v>0.37777777777777777</v>
      </c>
      <c r="Y13" s="13">
        <v>0.37708333333333333</v>
      </c>
      <c r="Z13" s="13">
        <v>0.44722222222222224</v>
      </c>
      <c r="AA13" s="59"/>
      <c r="AB13" s="13">
        <v>0.3611111111111111</v>
      </c>
      <c r="AC13" s="13">
        <v>0.36736111111111114</v>
      </c>
      <c r="AD13" s="13">
        <v>0.36041666666666666</v>
      </c>
      <c r="AE13" s="13">
        <v>0.35972222222222222</v>
      </c>
      <c r="AF13" s="13">
        <v>0.37777777777777777</v>
      </c>
      <c r="AG13" s="13">
        <v>0.45208333333333334</v>
      </c>
      <c r="AH13" s="14">
        <v>23</v>
      </c>
      <c r="AI13" s="15">
        <f t="shared" ref="AI13:AI22" si="0">AH13/26*100</f>
        <v>88.461538461538453</v>
      </c>
      <c r="AJ13" s="8"/>
    </row>
    <row r="14" spans="1:36" ht="34.200000000000003" thickBot="1" x14ac:dyDescent="0.35">
      <c r="A14" s="3"/>
      <c r="B14" s="9">
        <v>11</v>
      </c>
      <c r="C14" s="10" t="s">
        <v>29</v>
      </c>
      <c r="D14" s="10" t="s">
        <v>30</v>
      </c>
      <c r="E14" s="10" t="s">
        <v>9</v>
      </c>
      <c r="F14" s="59"/>
      <c r="G14" s="11">
        <v>0.37569444444444444</v>
      </c>
      <c r="H14" s="11">
        <v>0.39374999999999999</v>
      </c>
      <c r="I14" s="11">
        <v>0.4236111111111111</v>
      </c>
      <c r="J14" s="11">
        <v>0.37916666666666665</v>
      </c>
      <c r="K14" s="11">
        <v>0.37638888888888888</v>
      </c>
      <c r="L14" s="11">
        <v>0.38055555555555554</v>
      </c>
      <c r="M14" s="59"/>
      <c r="N14" s="11">
        <v>0.37638888888888888</v>
      </c>
      <c r="O14" s="11">
        <v>0.40347222222222223</v>
      </c>
      <c r="P14" s="11">
        <v>0.40347222222222223</v>
      </c>
      <c r="Q14" s="11">
        <v>0.44236111111111109</v>
      </c>
      <c r="R14" s="11">
        <v>0.43958333333333333</v>
      </c>
      <c r="S14" s="11">
        <v>0.48888888888888887</v>
      </c>
      <c r="T14" s="59"/>
      <c r="U14" s="13">
        <v>0.38611111111111113</v>
      </c>
      <c r="V14" s="13">
        <v>0.36944444444444446</v>
      </c>
      <c r="W14" s="13">
        <v>0.41041666666666665</v>
      </c>
      <c r="X14" s="13">
        <v>0.37152777777777779</v>
      </c>
      <c r="Y14" s="13">
        <v>0.40833333333333333</v>
      </c>
      <c r="Z14" s="13">
        <v>0.39513888888888887</v>
      </c>
      <c r="AA14" s="59"/>
      <c r="AB14" s="17">
        <v>0</v>
      </c>
      <c r="AC14" s="13">
        <v>0.43263888888888891</v>
      </c>
      <c r="AD14" s="13">
        <v>0.36805555555555558</v>
      </c>
      <c r="AE14" s="13">
        <v>0.38819444444444445</v>
      </c>
      <c r="AF14" s="13">
        <v>0.38958333333333334</v>
      </c>
      <c r="AG14" s="13">
        <v>0.4152777777777778</v>
      </c>
      <c r="AH14" s="14">
        <v>24</v>
      </c>
      <c r="AI14" s="15">
        <f t="shared" si="0"/>
        <v>92.307692307692307</v>
      </c>
      <c r="AJ14" s="8"/>
    </row>
    <row r="15" spans="1:36" ht="34.200000000000003" thickBot="1" x14ac:dyDescent="0.35">
      <c r="A15" s="3"/>
      <c r="B15" s="9">
        <v>12</v>
      </c>
      <c r="C15" s="48" t="s">
        <v>53</v>
      </c>
      <c r="D15" s="48" t="s">
        <v>54</v>
      </c>
      <c r="E15" s="10" t="s">
        <v>9</v>
      </c>
      <c r="F15" s="59"/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59"/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59"/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59"/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4">
        <v>21</v>
      </c>
      <c r="AI15" s="15">
        <f t="shared" si="0"/>
        <v>80.769230769230774</v>
      </c>
      <c r="AJ15" s="8"/>
    </row>
    <row r="16" spans="1:36" ht="34.200000000000003" thickBot="1" x14ac:dyDescent="0.35">
      <c r="A16" s="3"/>
      <c r="B16" s="9">
        <v>13</v>
      </c>
      <c r="C16" s="10" t="s">
        <v>31</v>
      </c>
      <c r="D16" s="10" t="s">
        <v>32</v>
      </c>
      <c r="E16" s="10" t="s">
        <v>9</v>
      </c>
      <c r="F16" s="59"/>
      <c r="G16" s="11">
        <v>0.52569444444444446</v>
      </c>
      <c r="H16" s="11">
        <v>0.53611111111111109</v>
      </c>
      <c r="I16" s="11">
        <v>0.17916666666666667</v>
      </c>
      <c r="J16" s="16" t="s">
        <v>14</v>
      </c>
      <c r="K16" s="16" t="s">
        <v>14</v>
      </c>
      <c r="L16" s="16" t="s">
        <v>14</v>
      </c>
      <c r="M16" s="59"/>
      <c r="N16" s="16" t="s">
        <v>14</v>
      </c>
      <c r="O16" s="16" t="s">
        <v>14</v>
      </c>
      <c r="P16" s="16" t="s">
        <v>14</v>
      </c>
      <c r="Q16" s="16" t="s">
        <v>14</v>
      </c>
      <c r="R16" s="16" t="s">
        <v>14</v>
      </c>
      <c r="S16" s="16" t="s">
        <v>14</v>
      </c>
      <c r="T16" s="59"/>
      <c r="U16" s="16" t="s">
        <v>14</v>
      </c>
      <c r="V16" s="16" t="s">
        <v>14</v>
      </c>
      <c r="W16" s="16" t="s">
        <v>14</v>
      </c>
      <c r="X16" s="16" t="s">
        <v>14</v>
      </c>
      <c r="Y16" s="16" t="s">
        <v>14</v>
      </c>
      <c r="Z16" s="16" t="s">
        <v>14</v>
      </c>
      <c r="AA16" s="59"/>
      <c r="AB16" s="16" t="s">
        <v>14</v>
      </c>
      <c r="AC16" s="16" t="s">
        <v>14</v>
      </c>
      <c r="AD16" s="16" t="s">
        <v>14</v>
      </c>
      <c r="AE16" s="16" t="s">
        <v>14</v>
      </c>
      <c r="AF16" s="16" t="s">
        <v>14</v>
      </c>
      <c r="AG16" s="16" t="s">
        <v>14</v>
      </c>
      <c r="AH16" s="14">
        <v>3</v>
      </c>
      <c r="AI16" s="15">
        <f t="shared" si="0"/>
        <v>11.538461538461538</v>
      </c>
      <c r="AJ16" s="8"/>
    </row>
    <row r="17" spans="1:36" ht="34.200000000000003" thickBot="1" x14ac:dyDescent="0.35">
      <c r="A17" s="3"/>
      <c r="B17" s="9">
        <v>14</v>
      </c>
      <c r="C17" s="10" t="s">
        <v>33</v>
      </c>
      <c r="D17" s="10" t="s">
        <v>34</v>
      </c>
      <c r="E17" s="10" t="s">
        <v>9</v>
      </c>
      <c r="F17" s="59"/>
      <c r="G17" s="11">
        <v>0.37986111111111109</v>
      </c>
      <c r="H17" s="11">
        <v>0.3888888888888889</v>
      </c>
      <c r="I17" s="11">
        <v>0.3840277777777778</v>
      </c>
      <c r="J17" s="11">
        <v>0.38263888888888886</v>
      </c>
      <c r="K17" s="11">
        <v>0.38194444444444442</v>
      </c>
      <c r="L17" s="11">
        <v>0.42986111111111114</v>
      </c>
      <c r="M17" s="59"/>
      <c r="N17" s="12" t="s">
        <v>11</v>
      </c>
      <c r="O17" s="11">
        <v>0.39027777777777778</v>
      </c>
      <c r="P17" s="11">
        <v>0.38680555555555557</v>
      </c>
      <c r="Q17" s="11">
        <v>0.38958333333333334</v>
      </c>
      <c r="R17" s="11">
        <v>0.38472222222222224</v>
      </c>
      <c r="S17" s="11">
        <v>0.39930555555555558</v>
      </c>
      <c r="T17" s="59"/>
      <c r="U17" s="13">
        <v>0.37013888888888891</v>
      </c>
      <c r="V17" s="13">
        <v>0.36527777777777776</v>
      </c>
      <c r="W17" s="13">
        <v>0.36666666666666664</v>
      </c>
      <c r="X17" s="13">
        <v>0.36527777777777776</v>
      </c>
      <c r="Y17" s="13">
        <v>0.36319444444444443</v>
      </c>
      <c r="Z17" s="13">
        <v>0.45069444444444445</v>
      </c>
      <c r="AA17" s="59"/>
      <c r="AB17" s="13">
        <v>0.37569444444444444</v>
      </c>
      <c r="AC17" s="13">
        <v>0.37291666666666667</v>
      </c>
      <c r="AD17" s="13">
        <v>0.36180555555555555</v>
      </c>
      <c r="AE17" s="13">
        <v>0.3576388888888889</v>
      </c>
      <c r="AF17" s="13">
        <v>0.36319444444444443</v>
      </c>
      <c r="AG17" s="13">
        <v>0.38819444444444445</v>
      </c>
      <c r="AH17" s="14">
        <v>23</v>
      </c>
      <c r="AI17" s="15">
        <f t="shared" si="0"/>
        <v>88.461538461538453</v>
      </c>
      <c r="AJ17" s="8"/>
    </row>
    <row r="18" spans="1:36" ht="34.200000000000003" thickBot="1" x14ac:dyDescent="0.35">
      <c r="A18" s="3"/>
      <c r="B18" s="9">
        <v>15</v>
      </c>
      <c r="C18" s="10" t="s">
        <v>35</v>
      </c>
      <c r="D18" s="10" t="s">
        <v>36</v>
      </c>
      <c r="E18" s="10" t="s">
        <v>9</v>
      </c>
      <c r="F18" s="59"/>
      <c r="G18" s="11">
        <v>0.47013888888888888</v>
      </c>
      <c r="H18" s="11">
        <v>0.40763888888888888</v>
      </c>
      <c r="I18" s="11">
        <v>0.49513888888888891</v>
      </c>
      <c r="J18" s="11">
        <v>0.44236111111111109</v>
      </c>
      <c r="K18" s="11">
        <v>0.46250000000000002</v>
      </c>
      <c r="L18" s="10"/>
      <c r="M18" s="59"/>
      <c r="N18" s="11">
        <v>0.38819444444444445</v>
      </c>
      <c r="O18" s="11">
        <v>0.39513888888888887</v>
      </c>
      <c r="P18" s="11">
        <v>0.47638888888888886</v>
      </c>
      <c r="Q18" s="11">
        <v>0.46388888888888891</v>
      </c>
      <c r="R18" s="11">
        <v>0.4152777777777778</v>
      </c>
      <c r="S18" s="11">
        <v>0.39444444444444443</v>
      </c>
      <c r="T18" s="59"/>
      <c r="U18" s="13">
        <v>0.48402777777777778</v>
      </c>
      <c r="V18" s="13">
        <v>0.33958333333333335</v>
      </c>
      <c r="W18" s="13">
        <v>0.43819444444444444</v>
      </c>
      <c r="X18" s="13">
        <v>0.35416666666666669</v>
      </c>
      <c r="Y18" s="13">
        <v>0.52500000000000002</v>
      </c>
      <c r="Z18" s="13">
        <v>0.52361111111111114</v>
      </c>
      <c r="AA18" s="59"/>
      <c r="AB18" s="13">
        <v>0.51736111111111116</v>
      </c>
      <c r="AC18" s="13">
        <v>0.35972222222222222</v>
      </c>
      <c r="AD18" s="13">
        <v>0.45833333333333331</v>
      </c>
      <c r="AE18" s="13">
        <v>0.45902777777777776</v>
      </c>
      <c r="AF18" s="13">
        <v>0.38055555555555554</v>
      </c>
      <c r="AG18" s="13">
        <v>0.43402777777777779</v>
      </c>
      <c r="AH18" s="14">
        <v>23</v>
      </c>
      <c r="AI18" s="15">
        <f t="shared" si="0"/>
        <v>88.461538461538453</v>
      </c>
      <c r="AJ18" s="8"/>
    </row>
    <row r="19" spans="1:36" ht="34.200000000000003" thickBot="1" x14ac:dyDescent="0.35">
      <c r="A19" s="3"/>
      <c r="B19" s="9">
        <v>16</v>
      </c>
      <c r="C19" s="10" t="s">
        <v>37</v>
      </c>
      <c r="D19" s="10" t="s">
        <v>38</v>
      </c>
      <c r="E19" s="10" t="s">
        <v>9</v>
      </c>
      <c r="F19" s="59"/>
      <c r="G19" s="11">
        <v>0.375</v>
      </c>
      <c r="H19" s="11">
        <v>0.3972222222222222</v>
      </c>
      <c r="I19" s="11">
        <v>0.38472222222222224</v>
      </c>
      <c r="J19" s="11">
        <v>0.39791666666666664</v>
      </c>
      <c r="K19" s="11">
        <v>0.38819444444444445</v>
      </c>
      <c r="L19" s="11">
        <v>0.38819444444444445</v>
      </c>
      <c r="M19" s="59"/>
      <c r="N19" s="11">
        <v>0.4152777777777778</v>
      </c>
      <c r="O19" s="11">
        <v>0.38541666666666669</v>
      </c>
      <c r="P19" s="11">
        <v>0.42569444444444443</v>
      </c>
      <c r="Q19" s="11">
        <v>0.38819444444444445</v>
      </c>
      <c r="R19" s="11">
        <v>0.4</v>
      </c>
      <c r="S19" s="16" t="s">
        <v>14</v>
      </c>
      <c r="T19" s="59"/>
      <c r="U19" s="13">
        <v>0.43680555555555556</v>
      </c>
      <c r="V19" s="13">
        <v>0.3611111111111111</v>
      </c>
      <c r="W19" s="13">
        <v>0.4375</v>
      </c>
      <c r="X19" s="13">
        <v>0.3888888888888889</v>
      </c>
      <c r="Y19" s="13">
        <v>0.41736111111111113</v>
      </c>
      <c r="Z19" s="13">
        <v>0.38958333333333334</v>
      </c>
      <c r="AA19" s="59"/>
      <c r="AB19" s="13">
        <v>0.39652777777777776</v>
      </c>
      <c r="AC19" s="12" t="s">
        <v>11</v>
      </c>
      <c r="AD19" s="13">
        <v>0.37986111111111109</v>
      </c>
      <c r="AE19" s="13">
        <v>0.38124999999999998</v>
      </c>
      <c r="AF19" s="13">
        <v>0.39513888888888887</v>
      </c>
      <c r="AG19" s="13">
        <v>0.38055555555555554</v>
      </c>
      <c r="AH19" s="14">
        <v>22</v>
      </c>
      <c r="AI19" s="15">
        <f t="shared" si="0"/>
        <v>84.615384615384613</v>
      </c>
      <c r="AJ19" s="8"/>
    </row>
    <row r="20" spans="1:36" ht="34.200000000000003" thickBot="1" x14ac:dyDescent="0.35">
      <c r="A20" s="3"/>
      <c r="B20" s="9">
        <v>17</v>
      </c>
      <c r="C20" s="10" t="s">
        <v>39</v>
      </c>
      <c r="D20" s="10" t="s">
        <v>40</v>
      </c>
      <c r="E20" s="10" t="s">
        <v>9</v>
      </c>
      <c r="F20" s="59"/>
      <c r="G20" s="17" t="s">
        <v>26</v>
      </c>
      <c r="H20" s="17" t="s">
        <v>26</v>
      </c>
      <c r="I20" s="17" t="s">
        <v>26</v>
      </c>
      <c r="J20" s="17" t="s">
        <v>26</v>
      </c>
      <c r="K20" s="17" t="s">
        <v>26</v>
      </c>
      <c r="L20" s="17" t="s">
        <v>26</v>
      </c>
      <c r="M20" s="59"/>
      <c r="N20" s="17" t="s">
        <v>26</v>
      </c>
      <c r="O20" s="17" t="s">
        <v>26</v>
      </c>
      <c r="P20" s="17" t="s">
        <v>26</v>
      </c>
      <c r="Q20" s="17" t="s">
        <v>26</v>
      </c>
      <c r="R20" s="17" t="s">
        <v>26</v>
      </c>
      <c r="S20" s="17" t="s">
        <v>26</v>
      </c>
      <c r="T20" s="59"/>
      <c r="U20" s="17" t="s">
        <v>26</v>
      </c>
      <c r="V20" s="17" t="s">
        <v>26</v>
      </c>
      <c r="W20" s="17" t="s">
        <v>26</v>
      </c>
      <c r="X20" s="17" t="s">
        <v>26</v>
      </c>
      <c r="Y20" s="17" t="s">
        <v>26</v>
      </c>
      <c r="Z20" s="17" t="s">
        <v>26</v>
      </c>
      <c r="AA20" s="59"/>
      <c r="AB20" s="17" t="s">
        <v>26</v>
      </c>
      <c r="AC20" s="17" t="s">
        <v>26</v>
      </c>
      <c r="AD20" s="17">
        <v>0</v>
      </c>
      <c r="AE20" s="13">
        <v>0.30555555555555558</v>
      </c>
      <c r="AF20" s="12" t="s">
        <v>15</v>
      </c>
      <c r="AG20" s="12" t="s">
        <v>15</v>
      </c>
      <c r="AH20" s="14">
        <v>2</v>
      </c>
      <c r="AI20" s="15">
        <f t="shared" si="0"/>
        <v>7.6923076923076925</v>
      </c>
      <c r="AJ20" s="8"/>
    </row>
    <row r="21" spans="1:36" ht="34.200000000000003" thickBot="1" x14ac:dyDescent="0.35">
      <c r="A21" s="3"/>
      <c r="B21" s="9">
        <v>18</v>
      </c>
      <c r="C21" s="48" t="s">
        <v>55</v>
      </c>
      <c r="D21" s="48" t="s">
        <v>56</v>
      </c>
      <c r="E21" s="10" t="s">
        <v>9</v>
      </c>
      <c r="F21" s="59"/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59"/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59"/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59"/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4">
        <v>21</v>
      </c>
      <c r="AI21" s="15">
        <f t="shared" si="0"/>
        <v>80.769230769230774</v>
      </c>
      <c r="AJ21" s="8"/>
    </row>
    <row r="22" spans="1:36" ht="34.200000000000003" thickBot="1" x14ac:dyDescent="0.35">
      <c r="A22" s="3"/>
      <c r="B22" s="9">
        <v>19</v>
      </c>
      <c r="C22" s="10" t="s">
        <v>41</v>
      </c>
      <c r="D22" s="10" t="s">
        <v>42</v>
      </c>
      <c r="E22" s="10" t="s">
        <v>9</v>
      </c>
      <c r="F22" s="60"/>
      <c r="G22" s="11">
        <v>0.35208333333333336</v>
      </c>
      <c r="H22" s="11">
        <v>0.35972222222222222</v>
      </c>
      <c r="I22" s="12" t="s">
        <v>11</v>
      </c>
      <c r="J22" s="12" t="s">
        <v>11</v>
      </c>
      <c r="K22" s="12" t="s">
        <v>11</v>
      </c>
      <c r="L22" s="16" t="s">
        <v>14</v>
      </c>
      <c r="M22" s="60"/>
      <c r="N22" s="11">
        <v>0.43194444444444446</v>
      </c>
      <c r="O22" s="17">
        <v>0</v>
      </c>
      <c r="P22" s="17">
        <v>0</v>
      </c>
      <c r="Q22" s="11">
        <v>0.40694444444444444</v>
      </c>
      <c r="R22" s="20">
        <v>0.2638888888888889</v>
      </c>
      <c r="S22" s="16" t="s">
        <v>14</v>
      </c>
      <c r="T22" s="60"/>
      <c r="U22" s="13">
        <v>0.43888888888888888</v>
      </c>
      <c r="V22" s="21">
        <v>0.21527777777777779</v>
      </c>
      <c r="W22" s="21">
        <v>0</v>
      </c>
      <c r="X22" s="20">
        <v>0.21111111111111111</v>
      </c>
      <c r="Y22" s="22">
        <v>0</v>
      </c>
      <c r="Z22" s="16" t="s">
        <v>14</v>
      </c>
      <c r="AA22" s="60"/>
      <c r="AB22" s="13">
        <v>0.53125</v>
      </c>
      <c r="AC22" s="21">
        <v>9.2361111111111116E-2</v>
      </c>
      <c r="AD22" s="13">
        <v>0.3576388888888889</v>
      </c>
      <c r="AE22" s="21">
        <v>0</v>
      </c>
      <c r="AF22" s="21">
        <v>0.23958333333333334</v>
      </c>
      <c r="AG22" s="16" t="s">
        <v>14</v>
      </c>
      <c r="AH22" s="14">
        <v>17</v>
      </c>
      <c r="AI22" s="15">
        <f t="shared" si="0"/>
        <v>65.384615384615387</v>
      </c>
      <c r="AJ22" s="8"/>
    </row>
    <row r="23" spans="1:36" ht="17.399999999999999" thickBot="1" x14ac:dyDescent="0.35">
      <c r="A23" s="23"/>
      <c r="B23" s="62" t="s">
        <v>43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4"/>
      <c r="AJ23" s="8"/>
    </row>
    <row r="24" spans="1:36" ht="15" thickBo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</row>
    <row r="34" spans="1:39" ht="17.399999999999999" thickBot="1" x14ac:dyDescent="0.3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7"/>
      <c r="AH34" s="24"/>
      <c r="AI34" s="24"/>
      <c r="AJ34" s="24"/>
      <c r="AK34" s="24"/>
      <c r="AL34" s="24"/>
      <c r="AM34" s="24"/>
    </row>
    <row r="35" spans="1:39" ht="18.600000000000001" thickBot="1" x14ac:dyDescent="0.4">
      <c r="A35" s="25"/>
      <c r="B35" s="68" t="s">
        <v>44</v>
      </c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24"/>
    </row>
    <row r="36" spans="1:39" ht="18.600000000000001" thickBot="1" x14ac:dyDescent="0.4">
      <c r="A36" s="26"/>
      <c r="B36" s="28" t="s">
        <v>1</v>
      </c>
      <c r="C36" s="28" t="s">
        <v>2</v>
      </c>
      <c r="D36" s="28" t="s">
        <v>3</v>
      </c>
      <c r="E36" s="28" t="s">
        <v>4</v>
      </c>
      <c r="F36" s="29">
        <v>46082</v>
      </c>
      <c r="G36" s="29">
        <v>46083</v>
      </c>
      <c r="H36" s="29">
        <v>46084</v>
      </c>
      <c r="I36" s="29">
        <v>46085</v>
      </c>
      <c r="J36" s="29">
        <v>46086</v>
      </c>
      <c r="K36" s="29">
        <v>46087</v>
      </c>
      <c r="L36" s="29">
        <v>46088</v>
      </c>
      <c r="M36" s="29">
        <v>46089</v>
      </c>
      <c r="N36" s="29">
        <v>46090</v>
      </c>
      <c r="O36" s="29">
        <v>46091</v>
      </c>
      <c r="P36" s="29">
        <v>46092</v>
      </c>
      <c r="Q36" s="29">
        <v>46093</v>
      </c>
      <c r="R36" s="29">
        <v>46094</v>
      </c>
      <c r="S36" s="29">
        <v>46095</v>
      </c>
      <c r="T36" s="29">
        <v>46096</v>
      </c>
      <c r="U36" s="29">
        <v>46097</v>
      </c>
      <c r="V36" s="29">
        <v>46098</v>
      </c>
      <c r="W36" s="29">
        <v>46099</v>
      </c>
      <c r="X36" s="29">
        <v>46100</v>
      </c>
      <c r="Y36" s="29">
        <v>46101</v>
      </c>
      <c r="Z36" s="29">
        <v>46102</v>
      </c>
      <c r="AA36" s="29">
        <v>46103</v>
      </c>
      <c r="AB36" s="29">
        <v>46104</v>
      </c>
      <c r="AC36" s="29">
        <v>46105</v>
      </c>
      <c r="AD36" s="29">
        <v>46106</v>
      </c>
      <c r="AE36" s="29">
        <v>46107</v>
      </c>
      <c r="AF36" s="29">
        <v>46108</v>
      </c>
      <c r="AG36" s="29">
        <v>46109</v>
      </c>
      <c r="AH36" s="29">
        <v>46110</v>
      </c>
      <c r="AI36" s="29">
        <v>46111</v>
      </c>
      <c r="AJ36" s="29">
        <v>46112</v>
      </c>
      <c r="AK36" s="69" t="s">
        <v>45</v>
      </c>
      <c r="AL36" s="69"/>
      <c r="AM36" s="27"/>
    </row>
    <row r="37" spans="1:39" ht="18.600000000000001" thickBot="1" x14ac:dyDescent="0.4">
      <c r="A37" s="26"/>
      <c r="B37" s="30">
        <v>1</v>
      </c>
      <c r="C37" s="31" t="s">
        <v>7</v>
      </c>
      <c r="D37" s="31" t="s">
        <v>8</v>
      </c>
      <c r="E37" s="31" t="s">
        <v>9</v>
      </c>
      <c r="F37" s="70" t="s">
        <v>10</v>
      </c>
      <c r="G37" s="32">
        <v>0.36875000000000002</v>
      </c>
      <c r="H37" s="33">
        <v>0.41388888888888886</v>
      </c>
      <c r="I37" s="34">
        <v>0.33888888888888891</v>
      </c>
      <c r="J37" s="34">
        <v>0.34444444444444444</v>
      </c>
      <c r="K37" s="32">
        <v>0.33750000000000002</v>
      </c>
      <c r="L37" s="32">
        <v>0.41736111111111113</v>
      </c>
      <c r="M37" s="70" t="s">
        <v>10</v>
      </c>
      <c r="N37" s="35" t="s">
        <v>15</v>
      </c>
      <c r="O37" s="32">
        <v>0.35833333333333334</v>
      </c>
      <c r="P37" s="49">
        <v>0.33958333333333335</v>
      </c>
      <c r="Q37" s="34">
        <v>0.35555555555555557</v>
      </c>
      <c r="R37" s="32">
        <v>0.36736111111111114</v>
      </c>
      <c r="S37" s="34">
        <v>0.51249999999999996</v>
      </c>
      <c r="T37" s="70" t="s">
        <v>10</v>
      </c>
      <c r="U37" s="34">
        <v>0.3347222222222222</v>
      </c>
      <c r="V37" s="32">
        <v>0.36041666666666666</v>
      </c>
      <c r="W37" s="32">
        <v>0.31736111111111109</v>
      </c>
      <c r="X37" s="71" t="s">
        <v>46</v>
      </c>
      <c r="Y37" s="72" t="s">
        <v>47</v>
      </c>
      <c r="Z37" s="32">
        <v>0.42916666666666664</v>
      </c>
      <c r="AA37" s="70" t="s">
        <v>10</v>
      </c>
      <c r="AB37" s="34">
        <v>0.37430555555555556</v>
      </c>
      <c r="AC37" s="36">
        <v>0.35347222222222224</v>
      </c>
      <c r="AD37" s="32">
        <v>0.36666666666666664</v>
      </c>
      <c r="AE37" s="50">
        <v>0.23055555555555557</v>
      </c>
      <c r="AF37" s="73" t="s">
        <v>48</v>
      </c>
      <c r="AG37" s="34">
        <v>0.48680555555555555</v>
      </c>
      <c r="AH37" s="70" t="s">
        <v>10</v>
      </c>
      <c r="AI37" s="11">
        <v>0</v>
      </c>
      <c r="AJ37" s="11">
        <v>0</v>
      </c>
      <c r="AK37" s="37">
        <f>AL37/23*100</f>
        <v>95.652173913043484</v>
      </c>
      <c r="AL37" s="38">
        <f t="shared" ref="AL37:AL55" si="1">COUNT($G37:$L37,$N37:$S37,$U37:$W37,$Z37,$AB37:$AG37,$AI37:$AJ37)</f>
        <v>22</v>
      </c>
      <c r="AM37" s="27"/>
    </row>
    <row r="38" spans="1:39" ht="18.600000000000001" thickBot="1" x14ac:dyDescent="0.4">
      <c r="A38" s="26"/>
      <c r="B38" s="30">
        <v>2</v>
      </c>
      <c r="C38" s="31" t="s">
        <v>12</v>
      </c>
      <c r="D38" s="31" t="s">
        <v>13</v>
      </c>
      <c r="E38" s="31" t="s">
        <v>9</v>
      </c>
      <c r="F38" s="70"/>
      <c r="G38" s="32">
        <v>0.34444444444444444</v>
      </c>
      <c r="H38" s="33">
        <v>0.37708333333333333</v>
      </c>
      <c r="I38" s="34">
        <v>0.35486111111111113</v>
      </c>
      <c r="J38" s="34">
        <v>0.35625000000000001</v>
      </c>
      <c r="K38" s="32">
        <v>0.35069444444444442</v>
      </c>
      <c r="L38" s="32">
        <v>0.39374999999999999</v>
      </c>
      <c r="M38" s="70"/>
      <c r="N38" s="32">
        <v>0.33958333333333335</v>
      </c>
      <c r="O38" s="32">
        <v>0.37638888888888888</v>
      </c>
      <c r="P38" s="49">
        <v>0.38124999999999998</v>
      </c>
      <c r="Q38" s="34">
        <v>0.3527777777777778</v>
      </c>
      <c r="R38" s="32">
        <v>0.37013888888888891</v>
      </c>
      <c r="S38" s="34">
        <v>0.4</v>
      </c>
      <c r="T38" s="70"/>
      <c r="U38" s="34">
        <v>0</v>
      </c>
      <c r="V38" s="32">
        <v>0.33055555555555555</v>
      </c>
      <c r="W38" s="32">
        <v>0.30208333333333331</v>
      </c>
      <c r="X38" s="71"/>
      <c r="Y38" s="72"/>
      <c r="Z38" s="32">
        <v>0.37708333333333333</v>
      </c>
      <c r="AA38" s="70"/>
      <c r="AB38" s="35" t="s">
        <v>15</v>
      </c>
      <c r="AC38" s="35" t="s">
        <v>15</v>
      </c>
      <c r="AD38" s="35" t="s">
        <v>15</v>
      </c>
      <c r="AE38" s="51" t="s">
        <v>14</v>
      </c>
      <c r="AF38" s="73"/>
      <c r="AG38" s="34">
        <v>0.38124999999999998</v>
      </c>
      <c r="AH38" s="70"/>
      <c r="AI38" s="11">
        <v>0</v>
      </c>
      <c r="AJ38" s="11">
        <v>0</v>
      </c>
      <c r="AK38" s="37">
        <f t="shared" ref="AK38:AK55" si="2">AL38/23*100</f>
        <v>82.608695652173907</v>
      </c>
      <c r="AL38" s="38">
        <f t="shared" si="1"/>
        <v>19</v>
      </c>
      <c r="AM38" s="27"/>
    </row>
    <row r="39" spans="1:39" ht="18.600000000000001" thickBot="1" x14ac:dyDescent="0.4">
      <c r="A39" s="26"/>
      <c r="B39" s="30">
        <v>3</v>
      </c>
      <c r="C39" s="31" t="s">
        <v>16</v>
      </c>
      <c r="D39" s="31" t="s">
        <v>17</v>
      </c>
      <c r="E39" s="31" t="s">
        <v>9</v>
      </c>
      <c r="F39" s="70"/>
      <c r="G39" s="32">
        <v>0.37569444444444444</v>
      </c>
      <c r="H39" s="33">
        <v>0.37291666666666667</v>
      </c>
      <c r="I39" s="34">
        <v>0.33611111111111114</v>
      </c>
      <c r="J39" s="34">
        <v>0.35</v>
      </c>
      <c r="K39" s="32">
        <v>0.33333333333333331</v>
      </c>
      <c r="L39" s="32">
        <v>0.43958333333333333</v>
      </c>
      <c r="M39" s="70"/>
      <c r="N39" s="32">
        <v>0.34861111111111109</v>
      </c>
      <c r="O39" s="35" t="s">
        <v>15</v>
      </c>
      <c r="P39" s="35" t="s">
        <v>15</v>
      </c>
      <c r="Q39" s="35" t="s">
        <v>15</v>
      </c>
      <c r="R39" s="39" t="s">
        <v>15</v>
      </c>
      <c r="S39" s="34">
        <v>0.37916666666666665</v>
      </c>
      <c r="T39" s="70"/>
      <c r="U39" s="34">
        <v>0.35902777777777778</v>
      </c>
      <c r="V39" s="32">
        <v>0.36388888888888887</v>
      </c>
      <c r="W39" s="32">
        <v>0.34097222222222223</v>
      </c>
      <c r="X39" s="71"/>
      <c r="Y39" s="72"/>
      <c r="Z39" s="32">
        <v>0.37291666666666667</v>
      </c>
      <c r="AA39" s="70"/>
      <c r="AB39" s="34">
        <v>0.35069444444444442</v>
      </c>
      <c r="AC39" s="36">
        <v>0.34583333333333333</v>
      </c>
      <c r="AD39" s="41">
        <v>0.29652777777777778</v>
      </c>
      <c r="AE39" s="50">
        <v>0.31041666666666667</v>
      </c>
      <c r="AF39" s="73"/>
      <c r="AG39" s="34">
        <v>0.38541666666666669</v>
      </c>
      <c r="AH39" s="70"/>
      <c r="AI39" s="11">
        <v>0</v>
      </c>
      <c r="AJ39" s="11">
        <v>0</v>
      </c>
      <c r="AK39" s="37">
        <f t="shared" si="2"/>
        <v>82.608695652173907</v>
      </c>
      <c r="AL39" s="38">
        <f t="shared" si="1"/>
        <v>19</v>
      </c>
      <c r="AM39" s="27"/>
    </row>
    <row r="40" spans="1:39" ht="18.600000000000001" thickBot="1" x14ac:dyDescent="0.4">
      <c r="A40" s="26"/>
      <c r="B40" s="30">
        <v>4</v>
      </c>
      <c r="C40" s="31" t="s">
        <v>18</v>
      </c>
      <c r="D40" s="31" t="s">
        <v>19</v>
      </c>
      <c r="E40" s="31" t="s">
        <v>9</v>
      </c>
      <c r="F40" s="70"/>
      <c r="G40" s="32">
        <v>0.38819444444444445</v>
      </c>
      <c r="H40" s="33">
        <v>0.36041666666666666</v>
      </c>
      <c r="I40" s="34">
        <v>0.33819444444444446</v>
      </c>
      <c r="J40" s="34">
        <v>0.35625000000000001</v>
      </c>
      <c r="K40" s="32">
        <v>0.34375</v>
      </c>
      <c r="L40" s="32">
        <v>0.36666666666666664</v>
      </c>
      <c r="M40" s="70"/>
      <c r="N40" s="32">
        <v>0.34652777777777777</v>
      </c>
      <c r="O40" s="32">
        <v>0.48194444444444445</v>
      </c>
      <c r="P40" s="52">
        <v>0.17777777777777778</v>
      </c>
      <c r="Q40" s="34">
        <v>0.37083333333333335</v>
      </c>
      <c r="R40" s="32">
        <v>0.40486111111111112</v>
      </c>
      <c r="S40" s="40" t="s">
        <v>14</v>
      </c>
      <c r="T40" s="70"/>
      <c r="U40" s="34">
        <v>0.3125</v>
      </c>
      <c r="V40" s="32">
        <v>0.37152777777777779</v>
      </c>
      <c r="W40" s="32">
        <v>0.44722222222222224</v>
      </c>
      <c r="X40" s="71"/>
      <c r="Y40" s="72"/>
      <c r="Z40" s="40" t="s">
        <v>14</v>
      </c>
      <c r="AA40" s="70"/>
      <c r="AB40" s="46">
        <v>0.26874999999999999</v>
      </c>
      <c r="AC40" s="36">
        <v>0.34097222222222223</v>
      </c>
      <c r="AD40" s="41">
        <v>0.32222222222222224</v>
      </c>
      <c r="AE40" s="53">
        <v>0.50763888888888886</v>
      </c>
      <c r="AF40" s="73"/>
      <c r="AG40" s="51" t="s">
        <v>14</v>
      </c>
      <c r="AH40" s="70"/>
      <c r="AI40" s="11">
        <v>0</v>
      </c>
      <c r="AJ40" s="11">
        <v>0</v>
      </c>
      <c r="AK40" s="37">
        <f t="shared" si="2"/>
        <v>86.956521739130437</v>
      </c>
      <c r="AL40" s="38">
        <f t="shared" si="1"/>
        <v>20</v>
      </c>
      <c r="AM40" s="27"/>
    </row>
    <row r="41" spans="1:39" ht="34.799999999999997" thickBot="1" x14ac:dyDescent="0.4">
      <c r="A41" s="26"/>
      <c r="B41" s="30">
        <v>5</v>
      </c>
      <c r="C41" s="31" t="s">
        <v>49</v>
      </c>
      <c r="D41" s="31" t="s">
        <v>50</v>
      </c>
      <c r="E41" s="54" t="s">
        <v>9</v>
      </c>
      <c r="F41" s="70"/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70"/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40" t="s">
        <v>14</v>
      </c>
      <c r="T41" s="70"/>
      <c r="U41" s="11">
        <v>0</v>
      </c>
      <c r="V41" s="11">
        <v>0</v>
      </c>
      <c r="W41" s="40">
        <v>0</v>
      </c>
      <c r="X41" s="71"/>
      <c r="Y41" s="72"/>
      <c r="Z41" s="40" t="s">
        <v>14</v>
      </c>
      <c r="AA41" s="70"/>
      <c r="AB41" s="11">
        <v>0</v>
      </c>
      <c r="AC41" s="11">
        <v>0</v>
      </c>
      <c r="AD41" s="40">
        <v>0</v>
      </c>
      <c r="AE41" s="11">
        <v>0</v>
      </c>
      <c r="AF41" s="73"/>
      <c r="AG41" s="40">
        <v>0</v>
      </c>
      <c r="AH41" s="70"/>
      <c r="AI41" s="11">
        <v>0</v>
      </c>
      <c r="AJ41" s="11">
        <v>0</v>
      </c>
      <c r="AK41" s="37">
        <f t="shared" si="2"/>
        <v>91.304347826086953</v>
      </c>
      <c r="AL41" s="38">
        <f t="shared" si="1"/>
        <v>21</v>
      </c>
      <c r="AM41" s="27"/>
    </row>
    <row r="42" spans="1:39" ht="18.600000000000001" thickBot="1" x14ac:dyDescent="0.4">
      <c r="A42" s="26"/>
      <c r="B42" s="30">
        <v>6</v>
      </c>
      <c r="C42" s="31" t="s">
        <v>20</v>
      </c>
      <c r="D42" s="31" t="s">
        <v>21</v>
      </c>
      <c r="E42" s="31" t="s">
        <v>9</v>
      </c>
      <c r="F42" s="70"/>
      <c r="G42" s="32">
        <v>0.37569444444444444</v>
      </c>
      <c r="H42" s="33">
        <v>0.44722222222222224</v>
      </c>
      <c r="I42" s="34">
        <v>0.3347222222222222</v>
      </c>
      <c r="J42" s="35" t="s">
        <v>15</v>
      </c>
      <c r="K42" s="41">
        <v>0.33124999999999999</v>
      </c>
      <c r="L42" s="32">
        <v>0.52361111111111114</v>
      </c>
      <c r="M42" s="70"/>
      <c r="N42" s="32">
        <v>0.36319444444444443</v>
      </c>
      <c r="O42" s="32">
        <v>0.34375</v>
      </c>
      <c r="P42" s="49">
        <v>0.34583333333333333</v>
      </c>
      <c r="Q42" s="34">
        <v>0.3527777777777778</v>
      </c>
      <c r="R42" s="41">
        <v>0.3215277777777778</v>
      </c>
      <c r="S42" s="34">
        <v>0.48333333333333334</v>
      </c>
      <c r="T42" s="70"/>
      <c r="U42" s="34">
        <v>0.34027777777777779</v>
      </c>
      <c r="V42" s="32">
        <v>0.3611111111111111</v>
      </c>
      <c r="W42" s="32">
        <v>0.33333333333333331</v>
      </c>
      <c r="X42" s="71"/>
      <c r="Y42" s="72"/>
      <c r="Z42" s="32">
        <v>0.55486111111111114</v>
      </c>
      <c r="AA42" s="70"/>
      <c r="AB42" s="34">
        <v>0.38055555555555554</v>
      </c>
      <c r="AC42" s="36">
        <v>0.34722222222222221</v>
      </c>
      <c r="AD42" s="41">
        <v>0.28958333333333336</v>
      </c>
      <c r="AE42" s="53">
        <v>0.3840277777777778</v>
      </c>
      <c r="AF42" s="73"/>
      <c r="AG42" s="34">
        <v>0.47083333333333333</v>
      </c>
      <c r="AH42" s="70"/>
      <c r="AI42" s="11">
        <v>0</v>
      </c>
      <c r="AJ42" s="11">
        <v>0</v>
      </c>
      <c r="AK42" s="37">
        <f t="shared" si="2"/>
        <v>95.652173913043484</v>
      </c>
      <c r="AL42" s="38">
        <f t="shared" si="1"/>
        <v>22</v>
      </c>
      <c r="AM42" s="27"/>
    </row>
    <row r="43" spans="1:39" ht="18.600000000000001" thickBot="1" x14ac:dyDescent="0.4">
      <c r="A43" s="26"/>
      <c r="B43" s="30">
        <v>7</v>
      </c>
      <c r="C43" s="31" t="s">
        <v>22</v>
      </c>
      <c r="D43" s="31" t="s">
        <v>23</v>
      </c>
      <c r="E43" s="31" t="s">
        <v>9</v>
      </c>
      <c r="F43" s="70"/>
      <c r="G43" s="32">
        <v>0.38680555555555557</v>
      </c>
      <c r="H43" s="33">
        <v>0</v>
      </c>
      <c r="I43" s="34">
        <v>0.37847222222222221</v>
      </c>
      <c r="J43" s="34">
        <v>0.37708333333333333</v>
      </c>
      <c r="K43" s="32">
        <v>0.42083333333333334</v>
      </c>
      <c r="L43" s="32">
        <v>0.38680555555555557</v>
      </c>
      <c r="M43" s="70"/>
      <c r="N43" s="32">
        <v>0.40277777777777779</v>
      </c>
      <c r="O43" s="32">
        <v>0.39444444444444443</v>
      </c>
      <c r="P43" s="49">
        <v>0.37708333333333333</v>
      </c>
      <c r="Q43" s="34">
        <v>0.38819444444444445</v>
      </c>
      <c r="R43" s="32">
        <v>0.3972222222222222</v>
      </c>
      <c r="S43" s="34">
        <v>0.38124999999999998</v>
      </c>
      <c r="T43" s="70"/>
      <c r="U43" s="34">
        <v>0.36944444444444446</v>
      </c>
      <c r="V43" s="32">
        <v>0.35208333333333336</v>
      </c>
      <c r="W43" s="32">
        <v>0.42083333333333334</v>
      </c>
      <c r="X43" s="71"/>
      <c r="Y43" s="72"/>
      <c r="Z43" s="40" t="s">
        <v>14</v>
      </c>
      <c r="AA43" s="70"/>
      <c r="AB43" s="34">
        <v>0.39097222222222222</v>
      </c>
      <c r="AC43" s="36">
        <v>0.38124999999999998</v>
      </c>
      <c r="AD43" s="32">
        <v>0.37847222222222221</v>
      </c>
      <c r="AE43" s="53">
        <v>0.45208333333333334</v>
      </c>
      <c r="AF43" s="73"/>
      <c r="AG43" s="51" t="s">
        <v>14</v>
      </c>
      <c r="AH43" s="70"/>
      <c r="AI43" s="11">
        <v>0</v>
      </c>
      <c r="AJ43" s="11">
        <v>0</v>
      </c>
      <c r="AK43" s="37">
        <f t="shared" si="2"/>
        <v>91.304347826086953</v>
      </c>
      <c r="AL43" s="38">
        <f t="shared" si="1"/>
        <v>21</v>
      </c>
      <c r="AM43" s="27"/>
    </row>
    <row r="44" spans="1:39" ht="18.600000000000001" thickBot="1" x14ac:dyDescent="0.4">
      <c r="A44" s="26"/>
      <c r="B44" s="30">
        <v>8</v>
      </c>
      <c r="C44" s="31" t="s">
        <v>24</v>
      </c>
      <c r="D44" s="31" t="s">
        <v>25</v>
      </c>
      <c r="E44" s="31" t="s">
        <v>9</v>
      </c>
      <c r="F44" s="70"/>
      <c r="G44" s="32">
        <v>0.38611111111111113</v>
      </c>
      <c r="H44" s="33">
        <v>0.38750000000000001</v>
      </c>
      <c r="I44" s="34">
        <v>0.35208333333333336</v>
      </c>
      <c r="J44" s="34">
        <v>0.36041666666666666</v>
      </c>
      <c r="K44" s="32">
        <v>0.37638888888888888</v>
      </c>
      <c r="L44" s="32">
        <v>0.48125000000000001</v>
      </c>
      <c r="M44" s="70"/>
      <c r="N44" s="32">
        <v>0.35972222222222222</v>
      </c>
      <c r="O44" s="32">
        <v>0.35416666666666669</v>
      </c>
      <c r="P44" s="49">
        <v>0.3576388888888889</v>
      </c>
      <c r="Q44" s="35" t="s">
        <v>15</v>
      </c>
      <c r="R44" s="32">
        <v>0.35902777777777778</v>
      </c>
      <c r="S44" s="34">
        <v>0.44027777777777777</v>
      </c>
      <c r="T44" s="70"/>
      <c r="U44" s="34">
        <v>0.37430555555555556</v>
      </c>
      <c r="V44" s="32">
        <v>0.34791666666666665</v>
      </c>
      <c r="W44" s="32">
        <v>0.3888888888888889</v>
      </c>
      <c r="X44" s="71"/>
      <c r="Y44" s="72"/>
      <c r="Z44" s="32">
        <v>0.42777777777777776</v>
      </c>
      <c r="AA44" s="70"/>
      <c r="AB44" s="34">
        <v>0.37013888888888891</v>
      </c>
      <c r="AC44" s="36">
        <v>0.35069444444444442</v>
      </c>
      <c r="AD44" s="32">
        <v>0.35972222222222222</v>
      </c>
      <c r="AE44" s="53">
        <v>0.35625000000000001</v>
      </c>
      <c r="AF44" s="73"/>
      <c r="AG44" s="34">
        <v>0.39930555555555558</v>
      </c>
      <c r="AH44" s="70"/>
      <c r="AI44" s="11">
        <v>0</v>
      </c>
      <c r="AJ44" s="11">
        <v>0</v>
      </c>
      <c r="AK44" s="37">
        <f t="shared" si="2"/>
        <v>95.652173913043484</v>
      </c>
      <c r="AL44" s="38">
        <f t="shared" si="1"/>
        <v>22</v>
      </c>
      <c r="AM44" s="27"/>
    </row>
    <row r="45" spans="1:39" ht="34.799999999999997" thickBot="1" x14ac:dyDescent="0.4">
      <c r="A45" s="26"/>
      <c r="B45" s="30">
        <v>9</v>
      </c>
      <c r="C45" s="31" t="s">
        <v>51</v>
      </c>
      <c r="D45" s="31" t="s">
        <v>52</v>
      </c>
      <c r="E45" s="54" t="s">
        <v>9</v>
      </c>
      <c r="F45" s="70"/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40" t="s">
        <v>14</v>
      </c>
      <c r="M45" s="70"/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40" t="s">
        <v>14</v>
      </c>
      <c r="T45" s="70"/>
      <c r="U45" s="11">
        <v>0</v>
      </c>
      <c r="V45" s="11">
        <v>0</v>
      </c>
      <c r="W45" s="11">
        <v>0</v>
      </c>
      <c r="X45" s="71"/>
      <c r="Y45" s="72"/>
      <c r="Z45" s="11">
        <v>0</v>
      </c>
      <c r="AA45" s="70"/>
      <c r="AB45" s="11">
        <v>0</v>
      </c>
      <c r="AC45" s="11">
        <v>0</v>
      </c>
      <c r="AD45" s="11">
        <v>0</v>
      </c>
      <c r="AE45" s="11">
        <v>0</v>
      </c>
      <c r="AF45" s="73"/>
      <c r="AG45" s="11">
        <v>0</v>
      </c>
      <c r="AH45" s="70"/>
      <c r="AI45" s="11">
        <v>0</v>
      </c>
      <c r="AJ45" s="11">
        <v>0</v>
      </c>
      <c r="AK45" s="37">
        <f t="shared" si="2"/>
        <v>91.304347826086953</v>
      </c>
      <c r="AL45" s="38">
        <f t="shared" si="1"/>
        <v>21</v>
      </c>
      <c r="AM45" s="27"/>
    </row>
    <row r="46" spans="1:39" ht="18.600000000000001" thickBot="1" x14ac:dyDescent="0.4">
      <c r="A46" s="26"/>
      <c r="B46" s="30">
        <v>10</v>
      </c>
      <c r="C46" s="31" t="s">
        <v>27</v>
      </c>
      <c r="D46" s="31" t="s">
        <v>28</v>
      </c>
      <c r="E46" s="31" t="s">
        <v>9</v>
      </c>
      <c r="F46" s="70"/>
      <c r="G46" s="32">
        <v>0.38263888888888886</v>
      </c>
      <c r="H46" s="33">
        <v>0.41736111111111113</v>
      </c>
      <c r="I46" s="34">
        <v>0.35486111111111113</v>
      </c>
      <c r="J46" s="34">
        <v>0.35416666666666669</v>
      </c>
      <c r="K46" s="32">
        <v>0.34652777777777777</v>
      </c>
      <c r="L46" s="32">
        <v>0.41388888888888886</v>
      </c>
      <c r="M46" s="70"/>
      <c r="N46" s="32">
        <v>0.34652777777777777</v>
      </c>
      <c r="O46" s="32">
        <v>0.35555555555555557</v>
      </c>
      <c r="P46" s="49">
        <v>0.34583333333333333</v>
      </c>
      <c r="Q46" s="46">
        <v>0.27569444444444446</v>
      </c>
      <c r="R46" s="32">
        <v>0.34722222222222221</v>
      </c>
      <c r="S46" s="34">
        <v>0.4</v>
      </c>
      <c r="T46" s="70"/>
      <c r="U46" s="34">
        <v>0.34305555555555556</v>
      </c>
      <c r="V46" s="35" t="s">
        <v>15</v>
      </c>
      <c r="W46" s="32">
        <v>0.35069444444444442</v>
      </c>
      <c r="X46" s="71"/>
      <c r="Y46" s="72"/>
      <c r="Z46" s="32">
        <v>0.43680555555555556</v>
      </c>
      <c r="AA46" s="70"/>
      <c r="AB46" s="34">
        <v>0.35694444444444445</v>
      </c>
      <c r="AC46" s="36">
        <v>0.35</v>
      </c>
      <c r="AD46" s="32">
        <v>0.35833333333333334</v>
      </c>
      <c r="AE46" s="53">
        <v>0.35208333333333336</v>
      </c>
      <c r="AF46" s="73"/>
      <c r="AG46" s="34">
        <v>0.39305555555555555</v>
      </c>
      <c r="AH46" s="70"/>
      <c r="AI46" s="11">
        <v>0</v>
      </c>
      <c r="AJ46" s="11">
        <v>0</v>
      </c>
      <c r="AK46" s="37">
        <f t="shared" si="2"/>
        <v>95.652173913043484</v>
      </c>
      <c r="AL46" s="38">
        <f t="shared" si="1"/>
        <v>22</v>
      </c>
      <c r="AM46" s="27"/>
    </row>
    <row r="47" spans="1:39" ht="18.600000000000001" thickBot="1" x14ac:dyDescent="0.4">
      <c r="A47" s="26"/>
      <c r="B47" s="30">
        <v>11</v>
      </c>
      <c r="C47" s="31" t="s">
        <v>29</v>
      </c>
      <c r="D47" s="31" t="s">
        <v>30</v>
      </c>
      <c r="E47" s="31" t="s">
        <v>9</v>
      </c>
      <c r="F47" s="70"/>
      <c r="G47" s="32">
        <v>0.40416666666666667</v>
      </c>
      <c r="H47" s="33">
        <v>0.38819444444444445</v>
      </c>
      <c r="I47" s="34">
        <v>0.38750000000000001</v>
      </c>
      <c r="J47" s="34">
        <v>0.35208333333333336</v>
      </c>
      <c r="K47" s="32">
        <v>0.34166666666666667</v>
      </c>
      <c r="L47" s="32">
        <v>0.39513888888888887</v>
      </c>
      <c r="M47" s="70"/>
      <c r="N47" s="32">
        <v>0.34375</v>
      </c>
      <c r="O47" s="32">
        <v>0.34166666666666667</v>
      </c>
      <c r="P47" s="49">
        <v>0.33333333333333331</v>
      </c>
      <c r="Q47" s="34">
        <v>0.35</v>
      </c>
      <c r="R47" s="32">
        <v>0.3659722222222222</v>
      </c>
      <c r="S47" s="34">
        <v>0.42222222222222222</v>
      </c>
      <c r="T47" s="70"/>
      <c r="U47" s="34">
        <v>0.34305555555555556</v>
      </c>
      <c r="V47" s="32">
        <v>0.3298611111111111</v>
      </c>
      <c r="W47" s="32">
        <v>0.34513888888888888</v>
      </c>
      <c r="X47" s="71"/>
      <c r="Y47" s="72"/>
      <c r="Z47" s="32">
        <v>0.43541666666666667</v>
      </c>
      <c r="AA47" s="70"/>
      <c r="AB47" s="34">
        <v>0.34097222222222223</v>
      </c>
      <c r="AC47" s="36">
        <v>0.33680555555555558</v>
      </c>
      <c r="AD47" s="32">
        <v>0.35833333333333334</v>
      </c>
      <c r="AE47" s="50">
        <v>0.33055555555555555</v>
      </c>
      <c r="AF47" s="73"/>
      <c r="AG47" s="34">
        <v>0.44444444444444442</v>
      </c>
      <c r="AH47" s="70"/>
      <c r="AI47" s="11">
        <v>0</v>
      </c>
      <c r="AJ47" s="11">
        <v>0</v>
      </c>
      <c r="AK47" s="37">
        <f t="shared" si="2"/>
        <v>100</v>
      </c>
      <c r="AL47" s="38">
        <f t="shared" si="1"/>
        <v>23</v>
      </c>
      <c r="AM47" s="27"/>
    </row>
    <row r="48" spans="1:39" ht="34.799999999999997" thickBot="1" x14ac:dyDescent="0.4">
      <c r="A48" s="26"/>
      <c r="B48" s="30">
        <v>12</v>
      </c>
      <c r="C48" s="31" t="s">
        <v>53</v>
      </c>
      <c r="D48" s="31" t="s">
        <v>54</v>
      </c>
      <c r="E48" s="54" t="s">
        <v>9</v>
      </c>
      <c r="F48" s="70"/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40" t="s">
        <v>14</v>
      </c>
      <c r="M48" s="70"/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40" t="s">
        <v>14</v>
      </c>
      <c r="T48" s="70"/>
      <c r="U48" s="11">
        <v>0</v>
      </c>
      <c r="V48" s="11">
        <v>0</v>
      </c>
      <c r="W48" s="11">
        <v>0</v>
      </c>
      <c r="X48" s="71"/>
      <c r="Y48" s="72"/>
      <c r="Z48" s="11">
        <v>0</v>
      </c>
      <c r="AA48" s="70"/>
      <c r="AB48" s="11">
        <v>0</v>
      </c>
      <c r="AC48" s="11">
        <v>0</v>
      </c>
      <c r="AD48" s="11">
        <v>0</v>
      </c>
      <c r="AE48" s="11">
        <v>0</v>
      </c>
      <c r="AF48" s="73"/>
      <c r="AG48" s="11">
        <v>0</v>
      </c>
      <c r="AH48" s="70"/>
      <c r="AI48" s="11">
        <v>0</v>
      </c>
      <c r="AJ48" s="11">
        <v>0</v>
      </c>
      <c r="AK48" s="37">
        <f t="shared" si="2"/>
        <v>91.304347826086953</v>
      </c>
      <c r="AL48" s="38">
        <v>21</v>
      </c>
      <c r="AM48" s="27"/>
    </row>
    <row r="49" spans="1:39" ht="18.600000000000001" thickBot="1" x14ac:dyDescent="0.4">
      <c r="A49" s="26"/>
      <c r="B49" s="30">
        <v>13</v>
      </c>
      <c r="C49" s="31" t="s">
        <v>31</v>
      </c>
      <c r="D49" s="31" t="s">
        <v>32</v>
      </c>
      <c r="E49" s="31" t="s">
        <v>9</v>
      </c>
      <c r="F49" s="70"/>
      <c r="G49" s="43">
        <v>0</v>
      </c>
      <c r="H49" s="44">
        <v>0</v>
      </c>
      <c r="I49" s="31">
        <v>0</v>
      </c>
      <c r="J49" s="34">
        <v>0.34097222222222223</v>
      </c>
      <c r="K49" s="32">
        <v>0.33402777777777776</v>
      </c>
      <c r="L49" s="40" t="s">
        <v>14</v>
      </c>
      <c r="M49" s="70"/>
      <c r="N49" s="43">
        <v>0</v>
      </c>
      <c r="O49" s="40" t="s">
        <v>14</v>
      </c>
      <c r="P49" s="40" t="s">
        <v>14</v>
      </c>
      <c r="Q49" s="40" t="s">
        <v>14</v>
      </c>
      <c r="R49" s="41">
        <v>0.32708333333333334</v>
      </c>
      <c r="S49" s="40" t="s">
        <v>14</v>
      </c>
      <c r="T49" s="70"/>
      <c r="U49" s="34">
        <v>6.9444444444444447E-4</v>
      </c>
      <c r="V49" s="32">
        <v>0.32777777777777778</v>
      </c>
      <c r="W49" s="40" t="s">
        <v>14</v>
      </c>
      <c r="X49" s="71"/>
      <c r="Y49" s="72"/>
      <c r="Z49" s="40" t="s">
        <v>14</v>
      </c>
      <c r="AA49" s="70"/>
      <c r="AB49" s="40" t="s">
        <v>14</v>
      </c>
      <c r="AC49" s="36">
        <v>0.37708333333333333</v>
      </c>
      <c r="AD49" s="41">
        <v>0.32361111111111113</v>
      </c>
      <c r="AE49" s="50">
        <v>0.31527777777777777</v>
      </c>
      <c r="AF49" s="73"/>
      <c r="AG49" s="34">
        <v>9.7222222222222224E-3</v>
      </c>
      <c r="AH49" s="70"/>
      <c r="AI49" s="11">
        <v>0</v>
      </c>
      <c r="AJ49" s="11">
        <v>0</v>
      </c>
      <c r="AK49" s="37">
        <f t="shared" si="2"/>
        <v>65.217391304347828</v>
      </c>
      <c r="AL49" s="38">
        <f t="shared" si="1"/>
        <v>15</v>
      </c>
      <c r="AM49" s="27"/>
    </row>
    <row r="50" spans="1:39" ht="18.600000000000001" thickBot="1" x14ac:dyDescent="0.4">
      <c r="A50" s="26"/>
      <c r="B50" s="30">
        <v>14</v>
      </c>
      <c r="C50" s="31" t="s">
        <v>33</v>
      </c>
      <c r="D50" s="31" t="s">
        <v>34</v>
      </c>
      <c r="E50" s="31" t="s">
        <v>9</v>
      </c>
      <c r="F50" s="70"/>
      <c r="G50" s="32">
        <v>0.36944444444444446</v>
      </c>
      <c r="H50" s="33">
        <v>0.39097222222222222</v>
      </c>
      <c r="I50" s="34">
        <v>0.35972222222222222</v>
      </c>
      <c r="J50" s="34">
        <v>0.3527777777777778</v>
      </c>
      <c r="K50" s="32">
        <v>0.34166666666666667</v>
      </c>
      <c r="L50" s="32">
        <v>0.40972222222222221</v>
      </c>
      <c r="M50" s="70"/>
      <c r="N50" s="32">
        <v>0.34930555555555554</v>
      </c>
      <c r="O50" s="32">
        <v>0.36944444444444446</v>
      </c>
      <c r="P50" s="49">
        <v>0.35347222222222224</v>
      </c>
      <c r="Q50" s="34">
        <v>0.34652777777777777</v>
      </c>
      <c r="R50" s="32">
        <v>0.36249999999999999</v>
      </c>
      <c r="S50" s="34">
        <v>0.4</v>
      </c>
      <c r="T50" s="70"/>
      <c r="U50" s="34">
        <v>0.37152777777777779</v>
      </c>
      <c r="V50" s="32">
        <v>0.35902777777777778</v>
      </c>
      <c r="W50" s="32">
        <v>0.36180555555555555</v>
      </c>
      <c r="X50" s="71"/>
      <c r="Y50" s="72"/>
      <c r="Z50" s="32">
        <v>0.3888888888888889</v>
      </c>
      <c r="AA50" s="70"/>
      <c r="AB50" s="34">
        <v>0.38124999999999998</v>
      </c>
      <c r="AC50" s="36">
        <v>0.34791666666666665</v>
      </c>
      <c r="AD50" s="32">
        <v>0.35138888888888886</v>
      </c>
      <c r="AE50" s="53">
        <v>0.36249999999999999</v>
      </c>
      <c r="AF50" s="73"/>
      <c r="AG50" s="34">
        <v>0.38750000000000001</v>
      </c>
      <c r="AH50" s="70"/>
      <c r="AI50" s="11">
        <v>0</v>
      </c>
      <c r="AJ50" s="11">
        <v>0</v>
      </c>
      <c r="AK50" s="37">
        <f t="shared" si="2"/>
        <v>91.304347826086953</v>
      </c>
      <c r="AL50" s="38">
        <v>21</v>
      </c>
      <c r="AM50" s="27"/>
    </row>
    <row r="51" spans="1:39" ht="18.600000000000001" thickBot="1" x14ac:dyDescent="0.4">
      <c r="A51" s="26"/>
      <c r="B51" s="30">
        <v>15</v>
      </c>
      <c r="C51" s="31" t="s">
        <v>35</v>
      </c>
      <c r="D51" s="31" t="s">
        <v>36</v>
      </c>
      <c r="E51" s="31" t="s">
        <v>9</v>
      </c>
      <c r="F51" s="70"/>
      <c r="G51" s="35" t="s">
        <v>15</v>
      </c>
      <c r="H51" s="33">
        <v>0.38541666666666669</v>
      </c>
      <c r="I51" s="34">
        <v>0.34305555555555556</v>
      </c>
      <c r="J51" s="34">
        <v>0.34513888888888888</v>
      </c>
      <c r="K51" s="32">
        <v>0.33819444444444446</v>
      </c>
      <c r="L51" s="41">
        <v>0.24791666666666667</v>
      </c>
      <c r="M51" s="70"/>
      <c r="N51" s="32">
        <v>0.3527777777777778</v>
      </c>
      <c r="O51" s="32">
        <v>0.36875000000000002</v>
      </c>
      <c r="P51" s="49">
        <v>0.45763888888888887</v>
      </c>
      <c r="Q51" s="34">
        <v>0.37152777777777779</v>
      </c>
      <c r="R51" s="32">
        <v>0.33819444444444446</v>
      </c>
      <c r="S51" s="34">
        <v>0.41597222222222224</v>
      </c>
      <c r="T51" s="70"/>
      <c r="U51" s="34">
        <v>0.44583333333333336</v>
      </c>
      <c r="V51" s="32">
        <v>0.39374999999999999</v>
      </c>
      <c r="W51" s="32">
        <v>0.36458333333333331</v>
      </c>
      <c r="X51" s="71"/>
      <c r="Y51" s="72"/>
      <c r="Z51" s="32">
        <v>0.4375</v>
      </c>
      <c r="AA51" s="70"/>
      <c r="AB51" s="34">
        <v>0.38680555555555557</v>
      </c>
      <c r="AC51" s="36">
        <v>0.48749999999999999</v>
      </c>
      <c r="AD51" s="32">
        <v>0.34652777777777777</v>
      </c>
      <c r="AE51" s="53">
        <v>0.47986111111111113</v>
      </c>
      <c r="AF51" s="73"/>
      <c r="AG51" s="34">
        <v>0.4236111111111111</v>
      </c>
      <c r="AH51" s="70"/>
      <c r="AI51" s="11">
        <v>0</v>
      </c>
      <c r="AJ51" s="11">
        <v>0</v>
      </c>
      <c r="AK51" s="37">
        <f t="shared" si="2"/>
        <v>95.652173913043484</v>
      </c>
      <c r="AL51" s="38">
        <f t="shared" si="1"/>
        <v>22</v>
      </c>
      <c r="AM51" s="27"/>
    </row>
    <row r="52" spans="1:39" ht="18.600000000000001" thickBot="1" x14ac:dyDescent="0.4">
      <c r="A52" s="26"/>
      <c r="B52" s="30">
        <v>16</v>
      </c>
      <c r="C52" s="31" t="s">
        <v>37</v>
      </c>
      <c r="D52" s="31" t="s">
        <v>38</v>
      </c>
      <c r="E52" s="31" t="s">
        <v>9</v>
      </c>
      <c r="F52" s="70"/>
      <c r="G52" s="32">
        <v>0.39097222222222222</v>
      </c>
      <c r="H52" s="33">
        <v>0.37708333333333333</v>
      </c>
      <c r="I52" s="34">
        <v>0.35416666666666669</v>
      </c>
      <c r="J52" s="34">
        <v>0.37222222222222223</v>
      </c>
      <c r="K52" s="32">
        <v>0.37708333333333333</v>
      </c>
      <c r="L52" s="32">
        <v>0.38333333333333336</v>
      </c>
      <c r="M52" s="70"/>
      <c r="N52" s="32">
        <v>0.44444444444444442</v>
      </c>
      <c r="O52" s="32">
        <v>0.3659722222222222</v>
      </c>
      <c r="P52" s="49">
        <v>0.35347222222222224</v>
      </c>
      <c r="Q52" s="34">
        <v>0.34722222222222221</v>
      </c>
      <c r="R52" s="32">
        <v>0.34444444444444444</v>
      </c>
      <c r="S52" s="34">
        <v>0.38124999999999998</v>
      </c>
      <c r="T52" s="70"/>
      <c r="U52" s="34">
        <v>0.33680555555555558</v>
      </c>
      <c r="V52" s="32">
        <v>0.34166666666666667</v>
      </c>
      <c r="W52" s="32">
        <v>0.33402777777777776</v>
      </c>
      <c r="X52" s="71"/>
      <c r="Y52" s="72"/>
      <c r="Z52" s="32">
        <v>0.45833333333333331</v>
      </c>
      <c r="AA52" s="70"/>
      <c r="AB52" s="34">
        <v>0.35972222222222222</v>
      </c>
      <c r="AC52" s="36">
        <v>0.33402777777777776</v>
      </c>
      <c r="AD52" s="32">
        <v>0.33819444444444446</v>
      </c>
      <c r="AE52" s="53">
        <v>0.36180555555555555</v>
      </c>
      <c r="AF52" s="73"/>
      <c r="AG52" s="34">
        <v>0.38472222222222224</v>
      </c>
      <c r="AH52" s="70"/>
      <c r="AI52" s="11">
        <v>0</v>
      </c>
      <c r="AJ52" s="11">
        <v>0</v>
      </c>
      <c r="AK52" s="37">
        <f t="shared" si="2"/>
        <v>100</v>
      </c>
      <c r="AL52" s="38">
        <f t="shared" si="1"/>
        <v>23</v>
      </c>
      <c r="AM52" s="27"/>
    </row>
    <row r="53" spans="1:39" ht="18.600000000000001" thickBot="1" x14ac:dyDescent="0.4">
      <c r="A53" s="26"/>
      <c r="B53" s="30">
        <v>17</v>
      </c>
      <c r="C53" s="42" t="s">
        <v>39</v>
      </c>
      <c r="D53" s="42" t="s">
        <v>40</v>
      </c>
      <c r="E53" s="42" t="s">
        <v>9</v>
      </c>
      <c r="F53" s="70"/>
      <c r="G53" s="32">
        <v>0.37777777777777777</v>
      </c>
      <c r="H53" s="33">
        <v>0.40208333333333335</v>
      </c>
      <c r="I53" s="34">
        <v>0.33402777777777776</v>
      </c>
      <c r="J53" s="34">
        <v>0.35902777777777778</v>
      </c>
      <c r="K53" s="32">
        <v>0.34166666666666667</v>
      </c>
      <c r="L53" s="32">
        <v>0.37847222222222221</v>
      </c>
      <c r="M53" s="70"/>
      <c r="N53" s="32">
        <v>0.34236111111111112</v>
      </c>
      <c r="O53" s="32">
        <v>0.35833333333333334</v>
      </c>
      <c r="P53" s="49">
        <v>0.33750000000000002</v>
      </c>
      <c r="Q53" s="34">
        <v>0.34027777777777779</v>
      </c>
      <c r="R53" s="41">
        <v>0.31874999999999998</v>
      </c>
      <c r="S53" s="34">
        <v>0.41666666666666669</v>
      </c>
      <c r="T53" s="70"/>
      <c r="U53" s="34">
        <v>0.34652777777777777</v>
      </c>
      <c r="V53" s="32">
        <v>0.32569444444444445</v>
      </c>
      <c r="W53" s="32">
        <v>0.30486111111111114</v>
      </c>
      <c r="X53" s="71"/>
      <c r="Y53" s="72"/>
      <c r="Z53" s="32">
        <v>0.41458333333333336</v>
      </c>
      <c r="AA53" s="70"/>
      <c r="AB53" s="34">
        <v>0.33263888888888887</v>
      </c>
      <c r="AC53" s="45">
        <v>0.32083333333333336</v>
      </c>
      <c r="AD53" s="41">
        <v>0.32916666666666666</v>
      </c>
      <c r="AE53" s="53">
        <v>0.34305555555555556</v>
      </c>
      <c r="AF53" s="73"/>
      <c r="AG53" s="34">
        <v>0.39374999999999999</v>
      </c>
      <c r="AH53" s="70"/>
      <c r="AI53" s="11">
        <v>0</v>
      </c>
      <c r="AJ53" s="11">
        <v>0</v>
      </c>
      <c r="AK53" s="37">
        <f t="shared" si="2"/>
        <v>100</v>
      </c>
      <c r="AL53" s="38">
        <f t="shared" si="1"/>
        <v>23</v>
      </c>
      <c r="AM53" s="27"/>
    </row>
    <row r="54" spans="1:39" ht="34.799999999999997" thickBot="1" x14ac:dyDescent="0.4">
      <c r="A54" s="26"/>
      <c r="B54" s="30">
        <v>18</v>
      </c>
      <c r="C54" s="31" t="s">
        <v>55</v>
      </c>
      <c r="D54" s="31" t="s">
        <v>56</v>
      </c>
      <c r="E54" s="54" t="s">
        <v>9</v>
      </c>
      <c r="F54" s="70"/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40" t="s">
        <v>14</v>
      </c>
      <c r="M54" s="70"/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70"/>
      <c r="U54" s="11">
        <v>0</v>
      </c>
      <c r="V54" s="11">
        <v>0</v>
      </c>
      <c r="W54" s="40" t="s">
        <v>14</v>
      </c>
      <c r="X54" s="71"/>
      <c r="Y54" s="72"/>
      <c r="Z54" s="11">
        <v>0</v>
      </c>
      <c r="AA54" s="70"/>
      <c r="AB54" s="11">
        <v>0</v>
      </c>
      <c r="AC54" s="11">
        <v>0</v>
      </c>
      <c r="AD54" s="11">
        <v>0</v>
      </c>
      <c r="AE54" s="11">
        <v>0</v>
      </c>
      <c r="AF54" s="73"/>
      <c r="AG54" s="11">
        <v>0</v>
      </c>
      <c r="AH54" s="70"/>
      <c r="AI54" s="11">
        <v>0</v>
      </c>
      <c r="AJ54" s="11">
        <v>0</v>
      </c>
      <c r="AK54" s="37">
        <f t="shared" si="2"/>
        <v>91.304347826086953</v>
      </c>
      <c r="AL54" s="38">
        <v>21</v>
      </c>
      <c r="AM54" s="27"/>
    </row>
    <row r="55" spans="1:39" ht="18.600000000000001" thickBot="1" x14ac:dyDescent="0.4">
      <c r="A55" s="26"/>
      <c r="B55" s="30">
        <v>19</v>
      </c>
      <c r="C55" s="31" t="s">
        <v>41</v>
      </c>
      <c r="D55" s="31" t="s">
        <v>42</v>
      </c>
      <c r="E55" s="31" t="s">
        <v>9</v>
      </c>
      <c r="F55" s="70"/>
      <c r="G55" s="32">
        <v>0.34097222222222223</v>
      </c>
      <c r="H55" s="40" t="s">
        <v>14</v>
      </c>
      <c r="I55" s="46">
        <v>0.28263888888888888</v>
      </c>
      <c r="J55" s="46">
        <v>0.10277777777777777</v>
      </c>
      <c r="K55" s="47">
        <v>0</v>
      </c>
      <c r="L55" s="40" t="s">
        <v>14</v>
      </c>
      <c r="M55" s="70"/>
      <c r="N55" s="32">
        <v>0.34236111111111112</v>
      </c>
      <c r="O55" s="36">
        <v>0.14930555555555555</v>
      </c>
      <c r="P55" s="49">
        <v>0.4236111111111111</v>
      </c>
      <c r="Q55" s="40" t="s">
        <v>14</v>
      </c>
      <c r="R55" s="32">
        <v>0.36944444444444446</v>
      </c>
      <c r="S55" s="40" t="s">
        <v>14</v>
      </c>
      <c r="T55" s="70"/>
      <c r="U55" s="34">
        <v>0.28958333333333336</v>
      </c>
      <c r="V55" s="32">
        <v>0.33958333333333335</v>
      </c>
      <c r="W55" s="35" t="s">
        <v>15</v>
      </c>
      <c r="X55" s="71"/>
      <c r="Y55" s="72"/>
      <c r="Z55" s="40" t="s">
        <v>14</v>
      </c>
      <c r="AA55" s="70"/>
      <c r="AB55" s="46">
        <v>0.12986111111111112</v>
      </c>
      <c r="AC55" s="41">
        <v>0</v>
      </c>
      <c r="AD55" s="32">
        <v>0.34930555555555554</v>
      </c>
      <c r="AE55" s="53">
        <v>0</v>
      </c>
      <c r="AF55" s="73"/>
      <c r="AG55" s="34">
        <v>0.36736111111111114</v>
      </c>
      <c r="AH55" s="70"/>
      <c r="AI55" s="11">
        <v>0</v>
      </c>
      <c r="AJ55" s="11">
        <v>0</v>
      </c>
      <c r="AK55" s="37">
        <f t="shared" si="2"/>
        <v>73.91304347826086</v>
      </c>
      <c r="AL55" s="38">
        <f t="shared" si="1"/>
        <v>17</v>
      </c>
      <c r="AM55" s="27"/>
    </row>
    <row r="56" spans="1:39" ht="18.600000000000001" thickBot="1" x14ac:dyDescent="0.4">
      <c r="A56" s="25"/>
      <c r="B56" s="61" t="s">
        <v>43</v>
      </c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24"/>
    </row>
    <row r="57" spans="1:39" ht="16.8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</row>
  </sheetData>
  <mergeCells count="18">
    <mergeCell ref="B56:AL56"/>
    <mergeCell ref="B23:AI23"/>
    <mergeCell ref="A34:AG34"/>
    <mergeCell ref="B35:AL35"/>
    <mergeCell ref="AK36:AL36"/>
    <mergeCell ref="F37:F55"/>
    <mergeCell ref="M37:M55"/>
    <mergeCell ref="T37:T55"/>
    <mergeCell ref="X37:X55"/>
    <mergeCell ref="Y37:Y55"/>
    <mergeCell ref="AA37:AA55"/>
    <mergeCell ref="AF37:AF55"/>
    <mergeCell ref="AH37:AH55"/>
    <mergeCell ref="B2:AI2"/>
    <mergeCell ref="F4:F22"/>
    <mergeCell ref="M4:M22"/>
    <mergeCell ref="T4:T22"/>
    <mergeCell ref="AA4:A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Kumar</dc:creator>
  <cp:lastModifiedBy>Rohith Kumar</cp:lastModifiedBy>
  <dcterms:created xsi:type="dcterms:W3CDTF">2026-03-25T09:44:19Z</dcterms:created>
  <dcterms:modified xsi:type="dcterms:W3CDTF">2026-04-08T11:34:22Z</dcterms:modified>
</cp:coreProperties>
</file>